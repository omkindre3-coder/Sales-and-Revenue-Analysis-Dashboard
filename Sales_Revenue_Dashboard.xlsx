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Revenue = Quantity x Unit Price (formula, auto-calculates)</t>
        </r>
      </text>
    </comment>
  </commentList>
</comments>
</file>

<file path=xl/sharedStrings.xml><?xml version="1.0" encoding="utf-8"?>
<sst xmlns="http://schemas.openxmlformats.org/spreadsheetml/2006/main" count="710" uniqueCount="48">
  <si>
    <t xml:space="preserve">Order ID</t>
  </si>
  <si>
    <t xml:space="preserve">Date</t>
  </si>
  <si>
    <t xml:space="preserve">Region</t>
  </si>
  <si>
    <t xml:space="preserve">Product</t>
  </si>
  <si>
    <t xml:space="preserve">Category</t>
  </si>
  <si>
    <t xml:space="preserve">Quantity</t>
  </si>
  <si>
    <t xml:space="preserve">Unit Price</t>
  </si>
  <si>
    <t xml:space="preserve">Revenue</t>
  </si>
  <si>
    <t xml:space="preserve">Month</t>
  </si>
  <si>
    <t xml:space="preserve">North</t>
  </si>
  <si>
    <t xml:space="preserve">Wireless Mouse</t>
  </si>
  <si>
    <t xml:space="preserve">Electronics</t>
  </si>
  <si>
    <t xml:space="preserve">South</t>
  </si>
  <si>
    <t xml:space="preserve">Bluetooth Speaker</t>
  </si>
  <si>
    <t xml:space="preserve">West</t>
  </si>
  <si>
    <t xml:space="preserve">Office Chair</t>
  </si>
  <si>
    <t xml:space="preserve">Furniture</t>
  </si>
  <si>
    <t xml:space="preserve">Cotton T-Shirt</t>
  </si>
  <si>
    <t xml:space="preserve">Apparel</t>
  </si>
  <si>
    <t xml:space="preserve">East</t>
  </si>
  <si>
    <t xml:space="preserve">Standing Desk</t>
  </si>
  <si>
    <t xml:space="preserve">Bookshelf</t>
  </si>
  <si>
    <t xml:space="preserve">USB-C Charger</t>
  </si>
  <si>
    <t xml:space="preserve">Denim Jacket</t>
  </si>
  <si>
    <t xml:space="preserve">Sales &amp; Revenue Analysis Dashboard</t>
  </si>
  <si>
    <t xml:space="preserve">Sample data — replace 'Raw Data' sheet with real records to go live.</t>
  </si>
  <si>
    <t xml:space="preserve">Filter by Region:</t>
  </si>
  <si>
    <t xml:space="preserve">All</t>
  </si>
  <si>
    <t xml:space="preserve">Total Revenue</t>
  </si>
  <si>
    <t xml:space="preserve">Total Units Sold</t>
  </si>
  <si>
    <t xml:space="preserve">Total Orders</t>
  </si>
  <si>
    <t xml:space="preserve">Avg Order Value</t>
  </si>
  <si>
    <t xml:space="preserve">Top-Performing Product</t>
  </si>
  <si>
    <t xml:space="preserve">Chart data (auto-updates with filter above) — don't delete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</si>
  <si>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</si>
  <si>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</si>
  <si>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</si>
  <si>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</si>
  <si>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</si>
  <si>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</si>
  <si>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</si>
  <si>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</si>
  <si>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</si>
  <si>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</si>
  <si>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</si>
  <si>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</si>
  <si>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Revenue (All Regions)</t>
  </si>
  <si>
    <t xml:space="preserve">Revenue (Filtered)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</si>
</sst>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"/>
    <numFmt numFmtId="167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20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4A7EBB"/>
      </patternFill>
    </fill>
    <fill>
      <patternFill patternType="solid">
        <fgColor rgb="FFDDEBF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4A7EB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Dashboard!K16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Dashboard!$J$17:$J$28</c:f>
              <c:strCache>
                <c:ptCount val="12"/>
                <c:pt idx="0">
                  <c:v>Sep-25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</c:strCache>
            </c:strRef>
          </c:cat>
          <c:val>
            <c:numRef>
              <c:f>Dashboard!$K$17:$K$28</c:f>
              <c:numCache>
                <c:formatCode>\$#,##0</c:formatCode>
                <c:ptCount val="12"/>
                <c:pt idx="0">
                  <c:v>402473</c:v>
                </c:pt>
                <c:pt idx="1">
                  <c:v>484864</c:v>
                </c:pt>
                <c:pt idx="2">
                  <c:v>204484</c:v>
                </c:pt>
                <c:pt idx="3">
                  <c:v>526741</c:v>
                </c:pt>
                <c:pt idx="4">
                  <c:v>819200</c:v>
                </c:pt>
                <c:pt idx="5">
                  <c:v>437733</c:v>
                </c:pt>
                <c:pt idx="6">
                  <c:v>491882</c:v>
                </c:pt>
                <c:pt idx="7">
                  <c:v>197118</c:v>
                </c:pt>
                <c:pt idx="8">
                  <c:v>200278</c:v>
                </c:pt>
                <c:pt idx="9">
                  <c:v>542401</c:v>
                </c:pt>
                <c:pt idx="10">
                  <c:v>378890</c:v>
                </c:pt>
                <c:pt idx="11">
                  <c:v>394221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301662"/>
        <c:axId val="34832973"/>
      </c:lineChart>
      <c:catAx>
        <c:axId val="663016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32973"/>
        <c:crosses val="autoZero"/>
        <c:auto val="1"/>
        <c:lblAlgn val="ctr"/>
        <c:lblOffset val="100"/>
        <c:noMultiLvlLbl val="0"/>
      </c:catAx>
      <c:valAx>
        <c:axId val="34832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016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Dashboard!L30</c:f>
              <c:strCache>
                <c:ptCount val="1"/>
                <c:pt idx="0">
                  <c:v>Revenue (Filtered)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Dashboard!$J$31:$J$38</c:f>
              <c:strCache>
                <c:ptCount val="8"/>
                <c:pt idx="0">
                  <c:v>Wireless Mouse</c:v>
                </c:pt>
                <c:pt idx="1">
                  <c:v>Bluetooth Speaker</c:v>
                </c:pt>
                <c:pt idx="2">
                  <c:v>USB-C Charger</c:v>
                </c:pt>
                <c:pt idx="3">
                  <c:v>Office Chair</c:v>
                </c:pt>
                <c:pt idx="4">
                  <c:v>Standing Desk</c:v>
                </c:pt>
                <c:pt idx="5">
                  <c:v>Bookshelf</c:v>
                </c:pt>
                <c:pt idx="6">
                  <c:v>Cotton T-Shirt</c:v>
                </c:pt>
                <c:pt idx="7">
                  <c:v>Denim Jacket</c:v>
                </c:pt>
              </c:strCache>
            </c:strRef>
          </c:cat>
          <c:val>
            <c:numRef>
              <c:f>Dashboard!$L$31:$L$38</c:f>
              <c:numCache>
                <c:formatCode>\$#,##0</c:formatCode>
                <c:ptCount val="8"/>
                <c:pt idx="0">
                  <c:v>108692</c:v>
                </c:pt>
                <c:pt idx="1">
                  <c:v>359830</c:v>
                </c:pt>
                <c:pt idx="2">
                  <c:v>97285</c:v>
                </c:pt>
                <c:pt idx="3">
                  <c:v>1186310</c:v>
                </c:pt>
                <c:pt idx="4">
                  <c:v>2451113</c:v>
                </c:pt>
                <c:pt idx="5">
                  <c:v>359153</c:v>
                </c:pt>
                <c:pt idx="6">
                  <c:v>116243</c:v>
                </c:pt>
                <c:pt idx="7">
                  <c:v>401659</c:v>
                </c:pt>
              </c:numCache>
            </c:numRef>
          </c:val>
        </c:ser>
        <c:gapWidth val="150"/>
        <c:overlap val="0"/>
        <c:axId val="65934771"/>
        <c:axId val="21767598"/>
      </c:barChart>
      <c:catAx>
        <c:axId val="659347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67598"/>
        <c:crosses val="autoZero"/>
        <c:auto val="1"/>
        <c:lblAlgn val="ctr"/>
        <c:lblOffset val="100"/>
        <c:noMultiLvlLbl val="0"/>
      </c:catAx>
      <c:valAx>
        <c:axId val="217675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34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Dashboard!K40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Dashboard!$J$41:$J$44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Dashboard!$K$41:$K$44</c:f>
              <c:numCache>
                <c:formatCode>\$#,##0</c:formatCode>
                <c:ptCount val="4"/>
                <c:pt idx="0">
                  <c:v>1134743</c:v>
                </c:pt>
                <c:pt idx="1">
                  <c:v>1485319</c:v>
                </c:pt>
                <c:pt idx="2">
                  <c:v>1034155</c:v>
                </c:pt>
                <c:pt idx="3">
                  <c:v>1426068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41400</xdr:rowOff>
    </xdr:from>
    <xdr:to>
      <xdr:col>6</xdr:col>
      <xdr:colOff>825480</xdr:colOff>
      <xdr:row>30</xdr:row>
      <xdr:rowOff>52920</xdr:rowOff>
    </xdr:to>
    <xdr:graphicFrame>
      <xdr:nvGraphicFramePr>
        <xdr:cNvPr id="0" name="Chart 1"/>
        <xdr:cNvGraphicFramePr/>
      </xdr:nvGraphicFramePr>
      <xdr:xfrm>
        <a:off x="211320" y="2857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41040</xdr:rowOff>
    </xdr:from>
    <xdr:to>
      <xdr:col>6</xdr:col>
      <xdr:colOff>825480</xdr:colOff>
      <xdr:row>46</xdr:row>
      <xdr:rowOff>52920</xdr:rowOff>
    </xdr:to>
    <xdr:graphicFrame>
      <xdr:nvGraphicFramePr>
        <xdr:cNvPr id="1" name="Chart 2"/>
        <xdr:cNvGraphicFramePr/>
      </xdr:nvGraphicFramePr>
      <xdr:xfrm>
        <a:off x="211320" y="590544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46</xdr:row>
      <xdr:rowOff>41400</xdr:rowOff>
    </xdr:from>
    <xdr:to>
      <xdr:col>14</xdr:col>
      <xdr:colOff>433080</xdr:colOff>
      <xdr:row>62</xdr:row>
      <xdr:rowOff>52920</xdr:rowOff>
    </xdr:to>
    <xdr:graphicFrame>
      <xdr:nvGraphicFramePr>
        <xdr:cNvPr id="2" name="Chart 3"/>
        <xdr:cNvGraphicFramePr/>
      </xdr:nvGraphicFramePr>
      <xdr:xfrm>
        <a:off x="7330320" y="895356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I221" headerRowCount="1" totalsRowCount="0" totalsRowShown="0">
  <autoFilter ref="A1:I221"/>
  <tableColumns count="9">
    <tableColumn id="1" name="Order ID"/>
    <tableColumn id="2" name="Date"/>
    <tableColumn id="3" name="Region"/>
    <tableColumn id="4" name="Product"/>
    <tableColumn id="5" name="Category"/>
    <tableColumn id="6" name="Quantity"/>
    <tableColumn id="7" name="Unit Price"/>
    <tableColumn id="8" name="Revenue"/>
    <tableColumn id="9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1001</v>
      </c>
      <c r="B2" s="3" t="n">
        <v>46228</v>
      </c>
      <c r="C2" s="2" t="s">
        <v>9</v>
      </c>
      <c r="D2" s="2" t="s">
        <v>10</v>
      </c>
      <c r="E2" s="2" t="s">
        <v>11</v>
      </c>
      <c r="F2" s="2" t="n">
        <v>4</v>
      </c>
      <c r="G2" s="2" t="n">
        <v>818</v>
      </c>
      <c r="H2" s="4" t="n">
        <f aca="false">F2*G2</f>
        <v>3272</v>
      </c>
      <c r="I2" s="2" t="str">
        <f aca="false">TEXT(B2,"mmm-yy")</f>
        <v>Jul-26</v>
      </c>
    </row>
    <row r="3" customFormat="false" ht="15" hidden="false" customHeight="false" outlineLevel="0" collapsed="false">
      <c r="A3" s="2" t="n">
        <v>1002</v>
      </c>
      <c r="B3" s="3" t="n">
        <v>46015</v>
      </c>
      <c r="C3" s="2" t="s">
        <v>12</v>
      </c>
      <c r="D3" s="2" t="s">
        <v>13</v>
      </c>
      <c r="E3" s="2" t="s">
        <v>11</v>
      </c>
      <c r="F3" s="2" t="n">
        <v>9</v>
      </c>
      <c r="G3" s="2" t="n">
        <v>2034</v>
      </c>
      <c r="H3" s="4" t="n">
        <f aca="false">F3*G3</f>
        <v>18306</v>
      </c>
      <c r="I3" s="2" t="str">
        <f aca="false">TEXT(B3,"mmm-yy")</f>
        <v>Dec-25</v>
      </c>
    </row>
    <row r="4" customFormat="false" ht="15" hidden="false" customHeight="false" outlineLevel="0" collapsed="false">
      <c r="A4" s="2" t="n">
        <v>1003</v>
      </c>
      <c r="B4" s="3" t="n">
        <v>45945</v>
      </c>
      <c r="C4" s="2" t="s">
        <v>14</v>
      </c>
      <c r="D4" s="2" t="s">
        <v>10</v>
      </c>
      <c r="E4" s="2" t="s">
        <v>11</v>
      </c>
      <c r="F4" s="2" t="n">
        <v>4</v>
      </c>
      <c r="G4" s="2" t="n">
        <v>761</v>
      </c>
      <c r="H4" s="4" t="n">
        <f aca="false">F4*G4</f>
        <v>3044</v>
      </c>
      <c r="I4" s="2" t="str">
        <f aca="false">TEXT(B4,"mmm-yy")</f>
        <v>Oct-25</v>
      </c>
    </row>
    <row r="5" customFormat="false" ht="15" hidden="false" customHeight="false" outlineLevel="0" collapsed="false">
      <c r="A5" s="2" t="n">
        <v>1004</v>
      </c>
      <c r="B5" s="3" t="n">
        <v>46020</v>
      </c>
      <c r="C5" s="2" t="s">
        <v>9</v>
      </c>
      <c r="D5" s="2" t="s">
        <v>15</v>
      </c>
      <c r="E5" s="2" t="s">
        <v>16</v>
      </c>
      <c r="F5" s="2" t="n">
        <v>12</v>
      </c>
      <c r="G5" s="2" t="n">
        <v>5618</v>
      </c>
      <c r="H5" s="4" t="n">
        <f aca="false">F5*G5</f>
        <v>67416</v>
      </c>
      <c r="I5" s="2" t="str">
        <f aca="false">TEXT(B5,"mmm-yy")</f>
        <v>Dec-25</v>
      </c>
    </row>
    <row r="6" customFormat="false" ht="15" hidden="false" customHeight="false" outlineLevel="0" collapsed="false">
      <c r="A6" s="2" t="n">
        <v>1005</v>
      </c>
      <c r="B6" s="3" t="n">
        <v>46180</v>
      </c>
      <c r="C6" s="2" t="s">
        <v>14</v>
      </c>
      <c r="D6" s="2" t="s">
        <v>15</v>
      </c>
      <c r="E6" s="2" t="s">
        <v>16</v>
      </c>
      <c r="F6" s="2" t="n">
        <v>5</v>
      </c>
      <c r="G6" s="2" t="n">
        <v>5471</v>
      </c>
      <c r="H6" s="4" t="n">
        <f aca="false">F6*G6</f>
        <v>27355</v>
      </c>
      <c r="I6" s="2" t="str">
        <f aca="false">TEXT(B6,"mmm-yy")</f>
        <v>Jun-26</v>
      </c>
    </row>
    <row r="7" customFormat="false" ht="15" hidden="false" customHeight="false" outlineLevel="0" collapsed="false">
      <c r="A7" s="2" t="n">
        <v>1006</v>
      </c>
      <c r="B7" s="3" t="n">
        <v>45904</v>
      </c>
      <c r="C7" s="2" t="s">
        <v>12</v>
      </c>
      <c r="D7" s="2" t="s">
        <v>17</v>
      </c>
      <c r="E7" s="2" t="s">
        <v>18</v>
      </c>
      <c r="F7" s="2" t="n">
        <v>3</v>
      </c>
      <c r="G7" s="2" t="n">
        <v>442</v>
      </c>
      <c r="H7" s="4" t="n">
        <f aca="false">F7*G7</f>
        <v>1326</v>
      </c>
      <c r="I7" s="2" t="str">
        <f aca="false">TEXT(B7,"mmm-yy")</f>
        <v>Sep-25</v>
      </c>
    </row>
    <row r="8" customFormat="false" ht="15" hidden="false" customHeight="false" outlineLevel="0" collapsed="false">
      <c r="A8" s="2" t="n">
        <v>1007</v>
      </c>
      <c r="B8" s="3" t="n">
        <v>46011</v>
      </c>
      <c r="C8" s="2" t="s">
        <v>19</v>
      </c>
      <c r="D8" s="2" t="s">
        <v>13</v>
      </c>
      <c r="E8" s="2" t="s">
        <v>11</v>
      </c>
      <c r="F8" s="2" t="n">
        <v>2</v>
      </c>
      <c r="G8" s="2" t="n">
        <v>1918</v>
      </c>
      <c r="H8" s="4" t="n">
        <f aca="false">F8*G8</f>
        <v>3836</v>
      </c>
      <c r="I8" s="2" t="str">
        <f aca="false">TEXT(B8,"mmm-yy")</f>
        <v>Dec-25</v>
      </c>
    </row>
    <row r="9" customFormat="false" ht="15" hidden="false" customHeight="false" outlineLevel="0" collapsed="false">
      <c r="A9" s="2" t="n">
        <v>1008</v>
      </c>
      <c r="B9" s="3" t="n">
        <v>46084</v>
      </c>
      <c r="C9" s="2" t="s">
        <v>19</v>
      </c>
      <c r="D9" s="2" t="s">
        <v>20</v>
      </c>
      <c r="E9" s="2" t="s">
        <v>16</v>
      </c>
      <c r="F9" s="2" t="n">
        <v>12</v>
      </c>
      <c r="G9" s="2" t="n">
        <v>9275</v>
      </c>
      <c r="H9" s="4" t="n">
        <f aca="false">F9*G9</f>
        <v>111300</v>
      </c>
      <c r="I9" s="2" t="str">
        <f aca="false">TEXT(B9,"mmm-yy")</f>
        <v>Mar-26</v>
      </c>
    </row>
    <row r="10" customFormat="false" ht="15" hidden="false" customHeight="false" outlineLevel="0" collapsed="false">
      <c r="A10" s="2" t="n">
        <v>1009</v>
      </c>
      <c r="B10" s="3" t="n">
        <v>46136</v>
      </c>
      <c r="C10" s="2" t="s">
        <v>9</v>
      </c>
      <c r="D10" s="2" t="s">
        <v>17</v>
      </c>
      <c r="E10" s="2" t="s">
        <v>18</v>
      </c>
      <c r="F10" s="2" t="n">
        <v>5</v>
      </c>
      <c r="G10" s="2" t="n">
        <v>430</v>
      </c>
      <c r="H10" s="4" t="n">
        <f aca="false">F10*G10</f>
        <v>2150</v>
      </c>
      <c r="I10" s="2" t="str">
        <f aca="false">TEXT(B10,"mmm-yy")</f>
        <v>Apr-26</v>
      </c>
    </row>
    <row r="11" customFormat="false" ht="15" hidden="false" customHeight="false" outlineLevel="0" collapsed="false">
      <c r="A11" s="2" t="n">
        <v>1010</v>
      </c>
      <c r="B11" s="3" t="n">
        <v>46222</v>
      </c>
      <c r="C11" s="2" t="s">
        <v>19</v>
      </c>
      <c r="D11" s="2" t="s">
        <v>15</v>
      </c>
      <c r="E11" s="2" t="s">
        <v>16</v>
      </c>
      <c r="F11" s="2" t="n">
        <v>1</v>
      </c>
      <c r="G11" s="2" t="n">
        <v>5611</v>
      </c>
      <c r="H11" s="4" t="n">
        <f aca="false">F11*G11</f>
        <v>5611</v>
      </c>
      <c r="I11" s="2" t="str">
        <f aca="false">TEXT(B11,"mmm-yy")</f>
        <v>Jul-26</v>
      </c>
    </row>
    <row r="12" customFormat="false" ht="15" hidden="false" customHeight="false" outlineLevel="0" collapsed="false">
      <c r="A12" s="2" t="n">
        <v>1011</v>
      </c>
      <c r="B12" s="3" t="n">
        <v>46239</v>
      </c>
      <c r="C12" s="2" t="s">
        <v>12</v>
      </c>
      <c r="D12" s="2" t="s">
        <v>20</v>
      </c>
      <c r="E12" s="2" t="s">
        <v>16</v>
      </c>
      <c r="F12" s="2" t="n">
        <v>4</v>
      </c>
      <c r="G12" s="2" t="n">
        <v>9436</v>
      </c>
      <c r="H12" s="4" t="n">
        <f aca="false">F12*G12</f>
        <v>37744</v>
      </c>
      <c r="I12" s="2" t="str">
        <f aca="false">TEXT(B12,"mmm-yy")</f>
        <v>Aug-26</v>
      </c>
    </row>
    <row r="13" customFormat="false" ht="15" hidden="false" customHeight="false" outlineLevel="0" collapsed="false">
      <c r="A13" s="2" t="n">
        <v>1012</v>
      </c>
      <c r="B13" s="3" t="n">
        <v>45952</v>
      </c>
      <c r="C13" s="2" t="s">
        <v>14</v>
      </c>
      <c r="D13" s="2" t="s">
        <v>20</v>
      </c>
      <c r="E13" s="2" t="s">
        <v>16</v>
      </c>
      <c r="F13" s="2" t="n">
        <v>6</v>
      </c>
      <c r="G13" s="2" t="n">
        <v>8957</v>
      </c>
      <c r="H13" s="4" t="n">
        <f aca="false">F13*G13</f>
        <v>53742</v>
      </c>
      <c r="I13" s="2" t="str">
        <f aca="false">TEXT(B13,"mmm-yy")</f>
        <v>Oct-25</v>
      </c>
    </row>
    <row r="14" customFormat="false" ht="15" hidden="false" customHeight="false" outlineLevel="0" collapsed="false">
      <c r="A14" s="2" t="n">
        <v>1013</v>
      </c>
      <c r="B14" s="3" t="n">
        <v>45984</v>
      </c>
      <c r="C14" s="2" t="s">
        <v>19</v>
      </c>
      <c r="D14" s="2" t="s">
        <v>21</v>
      </c>
      <c r="E14" s="2" t="s">
        <v>16</v>
      </c>
      <c r="F14" s="2" t="n">
        <v>5</v>
      </c>
      <c r="G14" s="2" t="n">
        <v>3203</v>
      </c>
      <c r="H14" s="4" t="n">
        <f aca="false">F14*G14</f>
        <v>16015</v>
      </c>
      <c r="I14" s="2" t="str">
        <f aca="false">TEXT(B14,"mmm-yy")</f>
        <v>Nov-25</v>
      </c>
    </row>
    <row r="15" customFormat="false" ht="15" hidden="false" customHeight="false" outlineLevel="0" collapsed="false">
      <c r="A15" s="2" t="n">
        <v>1014</v>
      </c>
      <c r="B15" s="3" t="n">
        <v>46260</v>
      </c>
      <c r="C15" s="2" t="s">
        <v>9</v>
      </c>
      <c r="D15" s="2" t="s">
        <v>22</v>
      </c>
      <c r="E15" s="2" t="s">
        <v>11</v>
      </c>
      <c r="F15" s="2" t="n">
        <v>4</v>
      </c>
      <c r="G15" s="2" t="n">
        <v>601</v>
      </c>
      <c r="H15" s="4" t="n">
        <f aca="false">F15*G15</f>
        <v>2404</v>
      </c>
      <c r="I15" s="2" t="str">
        <f aca="false">TEXT(B15,"mmm-yy")</f>
        <v>Aug-26</v>
      </c>
    </row>
    <row r="16" customFormat="false" ht="15" hidden="false" customHeight="false" outlineLevel="0" collapsed="false">
      <c r="A16" s="2" t="n">
        <v>1015</v>
      </c>
      <c r="B16" s="3" t="n">
        <v>45984</v>
      </c>
      <c r="C16" s="2" t="s">
        <v>14</v>
      </c>
      <c r="D16" s="2" t="s">
        <v>17</v>
      </c>
      <c r="E16" s="2" t="s">
        <v>18</v>
      </c>
      <c r="F16" s="2" t="n">
        <v>11</v>
      </c>
      <c r="G16" s="2" t="n">
        <v>439</v>
      </c>
      <c r="H16" s="4" t="n">
        <f aca="false">F16*G16</f>
        <v>4829</v>
      </c>
      <c r="I16" s="2" t="str">
        <f aca="false">TEXT(B16,"mmm-yy")</f>
        <v>Nov-25</v>
      </c>
    </row>
    <row r="17" customFormat="false" ht="15" hidden="false" customHeight="false" outlineLevel="0" collapsed="false">
      <c r="A17" s="2" t="n">
        <v>1016</v>
      </c>
      <c r="B17" s="3" t="n">
        <v>46253</v>
      </c>
      <c r="C17" s="2" t="s">
        <v>12</v>
      </c>
      <c r="D17" s="2" t="s">
        <v>21</v>
      </c>
      <c r="E17" s="2" t="s">
        <v>16</v>
      </c>
      <c r="F17" s="2" t="n">
        <v>1</v>
      </c>
      <c r="G17" s="2" t="n">
        <v>3412</v>
      </c>
      <c r="H17" s="4" t="n">
        <f aca="false">F17*G17</f>
        <v>3412</v>
      </c>
      <c r="I17" s="2" t="str">
        <f aca="false">TEXT(B17,"mmm-yy")</f>
        <v>Aug-26</v>
      </c>
    </row>
    <row r="18" customFormat="false" ht="15" hidden="false" customHeight="false" outlineLevel="0" collapsed="false">
      <c r="A18" s="2" t="n">
        <v>1017</v>
      </c>
      <c r="B18" s="3" t="n">
        <v>46018</v>
      </c>
      <c r="C18" s="2" t="s">
        <v>9</v>
      </c>
      <c r="D18" s="2" t="s">
        <v>21</v>
      </c>
      <c r="E18" s="2" t="s">
        <v>16</v>
      </c>
      <c r="F18" s="2" t="n">
        <v>2</v>
      </c>
      <c r="G18" s="2" t="n">
        <v>3266</v>
      </c>
      <c r="H18" s="4" t="n">
        <f aca="false">F18*G18</f>
        <v>6532</v>
      </c>
      <c r="I18" s="2" t="str">
        <f aca="false">TEXT(B18,"mmm-yy")</f>
        <v>Dec-25</v>
      </c>
    </row>
    <row r="19" customFormat="false" ht="15" hidden="false" customHeight="false" outlineLevel="0" collapsed="false">
      <c r="A19" s="2" t="n">
        <v>1018</v>
      </c>
      <c r="B19" s="3" t="n">
        <v>46009</v>
      </c>
      <c r="C19" s="2" t="s">
        <v>19</v>
      </c>
      <c r="D19" s="2" t="s">
        <v>15</v>
      </c>
      <c r="E19" s="2" t="s">
        <v>16</v>
      </c>
      <c r="F19" s="2" t="n">
        <v>7</v>
      </c>
      <c r="G19" s="2" t="n">
        <v>5584</v>
      </c>
      <c r="H19" s="4" t="n">
        <f aca="false">F19*G19</f>
        <v>39088</v>
      </c>
      <c r="I19" s="2" t="str">
        <f aca="false">TEXT(B19,"mmm-yy")</f>
        <v>Dec-25</v>
      </c>
    </row>
    <row r="20" customFormat="false" ht="15" hidden="false" customHeight="false" outlineLevel="0" collapsed="false">
      <c r="A20" s="2" t="n">
        <v>1019</v>
      </c>
      <c r="B20" s="3" t="n">
        <v>46230</v>
      </c>
      <c r="C20" s="2" t="s">
        <v>14</v>
      </c>
      <c r="D20" s="2" t="s">
        <v>22</v>
      </c>
      <c r="E20" s="2" t="s">
        <v>11</v>
      </c>
      <c r="F20" s="2" t="n">
        <v>4</v>
      </c>
      <c r="G20" s="2" t="n">
        <v>585</v>
      </c>
      <c r="H20" s="4" t="n">
        <f aca="false">F20*G20</f>
        <v>2340</v>
      </c>
      <c r="I20" s="2" t="str">
        <f aca="false">TEXT(B20,"mmm-yy")</f>
        <v>Jul-26</v>
      </c>
    </row>
    <row r="21" customFormat="false" ht="15" hidden="false" customHeight="false" outlineLevel="0" collapsed="false">
      <c r="A21" s="2" t="n">
        <v>1020</v>
      </c>
      <c r="B21" s="3" t="n">
        <v>46188</v>
      </c>
      <c r="C21" s="2" t="s">
        <v>19</v>
      </c>
      <c r="D21" s="2" t="s">
        <v>17</v>
      </c>
      <c r="E21" s="2" t="s">
        <v>18</v>
      </c>
      <c r="F21" s="2" t="n">
        <v>7</v>
      </c>
      <c r="G21" s="2" t="n">
        <v>467</v>
      </c>
      <c r="H21" s="4" t="n">
        <f aca="false">F21*G21</f>
        <v>3269</v>
      </c>
      <c r="I21" s="2" t="str">
        <f aca="false">TEXT(B21,"mmm-yy")</f>
        <v>Jun-26</v>
      </c>
    </row>
    <row r="22" customFormat="false" ht="15" hidden="false" customHeight="false" outlineLevel="0" collapsed="false">
      <c r="A22" s="2" t="n">
        <v>1021</v>
      </c>
      <c r="B22" s="3" t="n">
        <v>46086</v>
      </c>
      <c r="C22" s="2" t="s">
        <v>12</v>
      </c>
      <c r="D22" s="2" t="s">
        <v>22</v>
      </c>
      <c r="E22" s="2" t="s">
        <v>11</v>
      </c>
      <c r="F22" s="2" t="n">
        <v>2</v>
      </c>
      <c r="G22" s="2" t="n">
        <v>600</v>
      </c>
      <c r="H22" s="4" t="n">
        <f aca="false">F22*G22</f>
        <v>1200</v>
      </c>
      <c r="I22" s="2" t="str">
        <f aca="false">TEXT(B22,"mmm-yy")</f>
        <v>Mar-26</v>
      </c>
    </row>
    <row r="23" customFormat="false" ht="15" hidden="false" customHeight="false" outlineLevel="0" collapsed="false">
      <c r="A23" s="2" t="n">
        <v>1022</v>
      </c>
      <c r="B23" s="3" t="n">
        <v>45925</v>
      </c>
      <c r="C23" s="2" t="s">
        <v>9</v>
      </c>
      <c r="D23" s="2" t="s">
        <v>22</v>
      </c>
      <c r="E23" s="2" t="s">
        <v>11</v>
      </c>
      <c r="F23" s="2" t="n">
        <v>11</v>
      </c>
      <c r="G23" s="2" t="n">
        <v>607</v>
      </c>
      <c r="H23" s="4" t="n">
        <f aca="false">F23*G23</f>
        <v>6677</v>
      </c>
      <c r="I23" s="2" t="str">
        <f aca="false">TEXT(B23,"mmm-yy")</f>
        <v>Sep-25</v>
      </c>
    </row>
    <row r="24" customFormat="false" ht="15" hidden="false" customHeight="false" outlineLevel="0" collapsed="false">
      <c r="A24" s="2" t="n">
        <v>1023</v>
      </c>
      <c r="B24" s="3" t="n">
        <v>46117</v>
      </c>
      <c r="C24" s="2" t="s">
        <v>9</v>
      </c>
      <c r="D24" s="2" t="s">
        <v>17</v>
      </c>
      <c r="E24" s="2" t="s">
        <v>18</v>
      </c>
      <c r="F24" s="2" t="n">
        <v>8</v>
      </c>
      <c r="G24" s="2" t="n">
        <v>444</v>
      </c>
      <c r="H24" s="4" t="n">
        <f aca="false">F24*G24</f>
        <v>3552</v>
      </c>
      <c r="I24" s="2" t="str">
        <f aca="false">TEXT(B24,"mmm-yy")</f>
        <v>Apr-26</v>
      </c>
    </row>
    <row r="25" customFormat="false" ht="15" hidden="false" customHeight="false" outlineLevel="0" collapsed="false">
      <c r="A25" s="2" t="n">
        <v>1024</v>
      </c>
      <c r="B25" s="3" t="n">
        <v>46171</v>
      </c>
      <c r="C25" s="2" t="s">
        <v>19</v>
      </c>
      <c r="D25" s="2" t="s">
        <v>10</v>
      </c>
      <c r="E25" s="2" t="s">
        <v>11</v>
      </c>
      <c r="F25" s="2" t="n">
        <v>2</v>
      </c>
      <c r="G25" s="2" t="n">
        <v>813</v>
      </c>
      <c r="H25" s="4" t="n">
        <f aca="false">F25*G25</f>
        <v>1626</v>
      </c>
      <c r="I25" s="2" t="str">
        <f aca="false">TEXT(B25,"mmm-yy")</f>
        <v>May-26</v>
      </c>
    </row>
    <row r="26" customFormat="false" ht="15" hidden="false" customHeight="false" outlineLevel="0" collapsed="false">
      <c r="A26" s="2" t="n">
        <v>1025</v>
      </c>
      <c r="B26" s="3" t="n">
        <v>46250</v>
      </c>
      <c r="C26" s="2" t="s">
        <v>19</v>
      </c>
      <c r="D26" s="2" t="s">
        <v>21</v>
      </c>
      <c r="E26" s="2" t="s">
        <v>16</v>
      </c>
      <c r="F26" s="2" t="n">
        <v>7</v>
      </c>
      <c r="G26" s="2" t="n">
        <v>3171</v>
      </c>
      <c r="H26" s="4" t="n">
        <f aca="false">F26*G26</f>
        <v>22197</v>
      </c>
      <c r="I26" s="2" t="str">
        <f aca="false">TEXT(B26,"mmm-yy")</f>
        <v>Aug-26</v>
      </c>
    </row>
    <row r="27" customFormat="false" ht="15" hidden="false" customHeight="false" outlineLevel="0" collapsed="false">
      <c r="A27" s="2" t="n">
        <v>1026</v>
      </c>
      <c r="B27" s="3" t="n">
        <v>45981</v>
      </c>
      <c r="C27" s="2" t="s">
        <v>14</v>
      </c>
      <c r="D27" s="2" t="s">
        <v>10</v>
      </c>
      <c r="E27" s="2" t="s">
        <v>11</v>
      </c>
      <c r="F27" s="2" t="n">
        <v>12</v>
      </c>
      <c r="G27" s="2" t="n">
        <v>835</v>
      </c>
      <c r="H27" s="4" t="n">
        <f aca="false">F27*G27</f>
        <v>10020</v>
      </c>
      <c r="I27" s="2" t="str">
        <f aca="false">TEXT(B27,"mmm-yy")</f>
        <v>Nov-25</v>
      </c>
    </row>
    <row r="28" customFormat="false" ht="15" hidden="false" customHeight="false" outlineLevel="0" collapsed="false">
      <c r="A28" s="2" t="n">
        <v>1027</v>
      </c>
      <c r="B28" s="3" t="n">
        <v>46035</v>
      </c>
      <c r="C28" s="2" t="s">
        <v>12</v>
      </c>
      <c r="D28" s="2" t="s">
        <v>13</v>
      </c>
      <c r="E28" s="2" t="s">
        <v>11</v>
      </c>
      <c r="F28" s="2" t="n">
        <v>5</v>
      </c>
      <c r="G28" s="2" t="n">
        <v>2073</v>
      </c>
      <c r="H28" s="4" t="n">
        <f aca="false">F28*G28</f>
        <v>10365</v>
      </c>
      <c r="I28" s="2" t="str">
        <f aca="false">TEXT(B28,"mmm-yy")</f>
        <v>Jan-26</v>
      </c>
    </row>
    <row r="29" customFormat="false" ht="15" hidden="false" customHeight="false" outlineLevel="0" collapsed="false">
      <c r="A29" s="2" t="n">
        <v>1028</v>
      </c>
      <c r="B29" s="3" t="n">
        <v>46228</v>
      </c>
      <c r="C29" s="2" t="s">
        <v>12</v>
      </c>
      <c r="D29" s="2" t="s">
        <v>22</v>
      </c>
      <c r="E29" s="2" t="s">
        <v>11</v>
      </c>
      <c r="F29" s="2" t="n">
        <v>3</v>
      </c>
      <c r="G29" s="2" t="n">
        <v>591</v>
      </c>
      <c r="H29" s="4" t="n">
        <f aca="false">F29*G29</f>
        <v>1773</v>
      </c>
      <c r="I29" s="2" t="str">
        <f aca="false">TEXT(B29,"mmm-yy")</f>
        <v>Jul-26</v>
      </c>
    </row>
    <row r="30" customFormat="false" ht="15" hidden="false" customHeight="false" outlineLevel="0" collapsed="false">
      <c r="A30" s="2" t="n">
        <v>1029</v>
      </c>
      <c r="B30" s="3" t="n">
        <v>46177</v>
      </c>
      <c r="C30" s="2" t="s">
        <v>9</v>
      </c>
      <c r="D30" s="2" t="s">
        <v>21</v>
      </c>
      <c r="E30" s="2" t="s">
        <v>16</v>
      </c>
      <c r="F30" s="2" t="n">
        <v>2</v>
      </c>
      <c r="G30" s="2" t="n">
        <v>3295</v>
      </c>
      <c r="H30" s="4" t="n">
        <f aca="false">F30*G30</f>
        <v>6590</v>
      </c>
      <c r="I30" s="2" t="str">
        <f aca="false">TEXT(B30,"mmm-yy")</f>
        <v>Jun-26</v>
      </c>
    </row>
    <row r="31" customFormat="false" ht="15" hidden="false" customHeight="false" outlineLevel="0" collapsed="false">
      <c r="A31" s="2" t="n">
        <v>1030</v>
      </c>
      <c r="B31" s="3" t="n">
        <v>46086</v>
      </c>
      <c r="C31" s="2" t="s">
        <v>19</v>
      </c>
      <c r="D31" s="2" t="s">
        <v>15</v>
      </c>
      <c r="E31" s="2" t="s">
        <v>16</v>
      </c>
      <c r="F31" s="2" t="n">
        <v>10</v>
      </c>
      <c r="G31" s="2" t="n">
        <v>5256</v>
      </c>
      <c r="H31" s="4" t="n">
        <f aca="false">F31*G31</f>
        <v>52560</v>
      </c>
      <c r="I31" s="2" t="str">
        <f aca="false">TEXT(B31,"mmm-yy")</f>
        <v>Mar-26</v>
      </c>
    </row>
    <row r="32" customFormat="false" ht="15" hidden="false" customHeight="false" outlineLevel="0" collapsed="false">
      <c r="A32" s="2" t="n">
        <v>1031</v>
      </c>
      <c r="B32" s="3" t="n">
        <v>45941</v>
      </c>
      <c r="C32" s="2" t="s">
        <v>9</v>
      </c>
      <c r="D32" s="2" t="s">
        <v>23</v>
      </c>
      <c r="E32" s="2" t="s">
        <v>18</v>
      </c>
      <c r="F32" s="2" t="n">
        <v>9</v>
      </c>
      <c r="G32" s="2" t="n">
        <v>2372</v>
      </c>
      <c r="H32" s="4" t="n">
        <f aca="false">F32*G32</f>
        <v>21348</v>
      </c>
      <c r="I32" s="2" t="str">
        <f aca="false">TEXT(B32,"mmm-yy")</f>
        <v>Oct-25</v>
      </c>
    </row>
    <row r="33" customFormat="false" ht="15" hidden="false" customHeight="false" outlineLevel="0" collapsed="false">
      <c r="A33" s="2" t="n">
        <v>1032</v>
      </c>
      <c r="B33" s="3" t="n">
        <v>45965</v>
      </c>
      <c r="C33" s="2" t="s">
        <v>12</v>
      </c>
      <c r="D33" s="2" t="s">
        <v>23</v>
      </c>
      <c r="E33" s="2" t="s">
        <v>18</v>
      </c>
      <c r="F33" s="2" t="n">
        <v>3</v>
      </c>
      <c r="G33" s="2" t="n">
        <v>2402</v>
      </c>
      <c r="H33" s="4" t="n">
        <f aca="false">F33*G33</f>
        <v>7206</v>
      </c>
      <c r="I33" s="2" t="str">
        <f aca="false">TEXT(B33,"mmm-yy")</f>
        <v>Nov-25</v>
      </c>
    </row>
    <row r="34" customFormat="false" ht="15" hidden="false" customHeight="false" outlineLevel="0" collapsed="false">
      <c r="A34" s="2" t="n">
        <v>1033</v>
      </c>
      <c r="B34" s="3" t="n">
        <v>46036</v>
      </c>
      <c r="C34" s="2" t="s">
        <v>14</v>
      </c>
      <c r="D34" s="2" t="s">
        <v>15</v>
      </c>
      <c r="E34" s="2" t="s">
        <v>16</v>
      </c>
      <c r="F34" s="2" t="n">
        <v>12</v>
      </c>
      <c r="G34" s="2" t="n">
        <v>5735</v>
      </c>
      <c r="H34" s="4" t="n">
        <f aca="false">F34*G34</f>
        <v>68820</v>
      </c>
      <c r="I34" s="2" t="str">
        <f aca="false">TEXT(B34,"mmm-yy")</f>
        <v>Jan-26</v>
      </c>
    </row>
    <row r="35" customFormat="false" ht="15" hidden="false" customHeight="false" outlineLevel="0" collapsed="false">
      <c r="A35" s="2" t="n">
        <v>1034</v>
      </c>
      <c r="B35" s="3" t="n">
        <v>46254</v>
      </c>
      <c r="C35" s="2" t="s">
        <v>12</v>
      </c>
      <c r="D35" s="2" t="s">
        <v>20</v>
      </c>
      <c r="E35" s="2" t="s">
        <v>16</v>
      </c>
      <c r="F35" s="2" t="n">
        <v>11</v>
      </c>
      <c r="G35" s="2" t="n">
        <v>8908</v>
      </c>
      <c r="H35" s="4" t="n">
        <f aca="false">F35*G35</f>
        <v>97988</v>
      </c>
      <c r="I35" s="2" t="str">
        <f aca="false">TEXT(B35,"mmm-yy")</f>
        <v>Aug-26</v>
      </c>
    </row>
    <row r="36" customFormat="false" ht="15" hidden="false" customHeight="false" outlineLevel="0" collapsed="false">
      <c r="A36" s="2" t="n">
        <v>1035</v>
      </c>
      <c r="B36" s="3" t="n">
        <v>46233</v>
      </c>
      <c r="C36" s="2" t="s">
        <v>19</v>
      </c>
      <c r="D36" s="2" t="s">
        <v>23</v>
      </c>
      <c r="E36" s="2" t="s">
        <v>18</v>
      </c>
      <c r="F36" s="2" t="n">
        <v>8</v>
      </c>
      <c r="G36" s="2" t="n">
        <v>2391</v>
      </c>
      <c r="H36" s="4" t="n">
        <f aca="false">F36*G36</f>
        <v>19128</v>
      </c>
      <c r="I36" s="2" t="str">
        <f aca="false">TEXT(B36,"mmm-yy")</f>
        <v>Jul-26</v>
      </c>
    </row>
    <row r="37" customFormat="false" ht="15" hidden="false" customHeight="false" outlineLevel="0" collapsed="false">
      <c r="A37" s="2" t="n">
        <v>1036</v>
      </c>
      <c r="B37" s="3" t="n">
        <v>45962</v>
      </c>
      <c r="C37" s="2" t="s">
        <v>12</v>
      </c>
      <c r="D37" s="2" t="s">
        <v>15</v>
      </c>
      <c r="E37" s="2" t="s">
        <v>16</v>
      </c>
      <c r="F37" s="2" t="n">
        <v>1</v>
      </c>
      <c r="G37" s="2" t="n">
        <v>5259</v>
      </c>
      <c r="H37" s="4" t="n">
        <f aca="false">F37*G37</f>
        <v>5259</v>
      </c>
      <c r="I37" s="2" t="str">
        <f aca="false">TEXT(B37,"mmm-yy")</f>
        <v>Nov-25</v>
      </c>
    </row>
    <row r="38" customFormat="false" ht="15" hidden="false" customHeight="false" outlineLevel="0" collapsed="false">
      <c r="A38" s="2" t="n">
        <v>1037</v>
      </c>
      <c r="B38" s="3" t="n">
        <v>46202</v>
      </c>
      <c r="C38" s="2" t="s">
        <v>12</v>
      </c>
      <c r="D38" s="2" t="s">
        <v>15</v>
      </c>
      <c r="E38" s="2" t="s">
        <v>16</v>
      </c>
      <c r="F38" s="2" t="n">
        <v>12</v>
      </c>
      <c r="G38" s="2" t="n">
        <v>5228</v>
      </c>
      <c r="H38" s="4" t="n">
        <f aca="false">F38*G38</f>
        <v>62736</v>
      </c>
      <c r="I38" s="2" t="str">
        <f aca="false">TEXT(B38,"mmm-yy")</f>
        <v>Jun-26</v>
      </c>
    </row>
    <row r="39" customFormat="false" ht="15" hidden="false" customHeight="false" outlineLevel="0" collapsed="false">
      <c r="A39" s="2" t="n">
        <v>1038</v>
      </c>
      <c r="B39" s="3" t="n">
        <v>46224</v>
      </c>
      <c r="C39" s="2" t="s">
        <v>9</v>
      </c>
      <c r="D39" s="2" t="s">
        <v>15</v>
      </c>
      <c r="E39" s="2" t="s">
        <v>16</v>
      </c>
      <c r="F39" s="2" t="n">
        <v>1</v>
      </c>
      <c r="G39" s="2" t="n">
        <v>5261</v>
      </c>
      <c r="H39" s="4" t="n">
        <f aca="false">F39*G39</f>
        <v>5261</v>
      </c>
      <c r="I39" s="2" t="str">
        <f aca="false">TEXT(B39,"mmm-yy")</f>
        <v>Jul-26</v>
      </c>
    </row>
    <row r="40" customFormat="false" ht="15" hidden="false" customHeight="false" outlineLevel="0" collapsed="false">
      <c r="A40" s="2" t="n">
        <v>1039</v>
      </c>
      <c r="B40" s="3" t="n">
        <v>46070</v>
      </c>
      <c r="C40" s="2" t="s">
        <v>9</v>
      </c>
      <c r="D40" s="2" t="s">
        <v>15</v>
      </c>
      <c r="E40" s="2" t="s">
        <v>16</v>
      </c>
      <c r="F40" s="2" t="n">
        <v>8</v>
      </c>
      <c r="G40" s="2" t="n">
        <v>5377</v>
      </c>
      <c r="H40" s="4" t="n">
        <f aca="false">F40*G40</f>
        <v>43016</v>
      </c>
      <c r="I40" s="2" t="str">
        <f aca="false">TEXT(B40,"mmm-yy")</f>
        <v>Feb-26</v>
      </c>
    </row>
    <row r="41" customFormat="false" ht="15" hidden="false" customHeight="false" outlineLevel="0" collapsed="false">
      <c r="A41" s="2" t="n">
        <v>1040</v>
      </c>
      <c r="B41" s="3" t="n">
        <v>46010</v>
      </c>
      <c r="C41" s="2" t="s">
        <v>12</v>
      </c>
      <c r="D41" s="2" t="s">
        <v>23</v>
      </c>
      <c r="E41" s="2" t="s">
        <v>18</v>
      </c>
      <c r="F41" s="2" t="n">
        <v>8</v>
      </c>
      <c r="G41" s="2" t="n">
        <v>2240</v>
      </c>
      <c r="H41" s="4" t="n">
        <f aca="false">F41*G41</f>
        <v>17920</v>
      </c>
      <c r="I41" s="2" t="str">
        <f aca="false">TEXT(B41,"mmm-yy")</f>
        <v>Dec-25</v>
      </c>
    </row>
    <row r="42" customFormat="false" ht="15" hidden="false" customHeight="false" outlineLevel="0" collapsed="false">
      <c r="A42" s="2" t="n">
        <v>1041</v>
      </c>
      <c r="B42" s="3" t="n">
        <v>46109</v>
      </c>
      <c r="C42" s="2" t="s">
        <v>12</v>
      </c>
      <c r="D42" s="2" t="s">
        <v>13</v>
      </c>
      <c r="E42" s="2" t="s">
        <v>11</v>
      </c>
      <c r="F42" s="2" t="n">
        <v>7</v>
      </c>
      <c r="G42" s="2" t="n">
        <v>1918</v>
      </c>
      <c r="H42" s="4" t="n">
        <f aca="false">F42*G42</f>
        <v>13426</v>
      </c>
      <c r="I42" s="2" t="str">
        <f aca="false">TEXT(B42,"mmm-yy")</f>
        <v>Mar-26</v>
      </c>
    </row>
    <row r="43" customFormat="false" ht="15" hidden="false" customHeight="false" outlineLevel="0" collapsed="false">
      <c r="A43" s="2" t="n">
        <v>1042</v>
      </c>
      <c r="B43" s="3" t="n">
        <v>46082</v>
      </c>
      <c r="C43" s="2" t="s">
        <v>14</v>
      </c>
      <c r="D43" s="2" t="s">
        <v>17</v>
      </c>
      <c r="E43" s="2" t="s">
        <v>18</v>
      </c>
      <c r="F43" s="2" t="n">
        <v>12</v>
      </c>
      <c r="G43" s="2" t="n">
        <v>448</v>
      </c>
      <c r="H43" s="4" t="n">
        <f aca="false">F43*G43</f>
        <v>5376</v>
      </c>
      <c r="I43" s="2" t="str">
        <f aca="false">TEXT(B43,"mmm-yy")</f>
        <v>Mar-26</v>
      </c>
    </row>
    <row r="44" customFormat="false" ht="15" hidden="false" customHeight="false" outlineLevel="0" collapsed="false">
      <c r="A44" s="2" t="n">
        <v>1043</v>
      </c>
      <c r="B44" s="3" t="n">
        <v>45928</v>
      </c>
      <c r="C44" s="2" t="s">
        <v>9</v>
      </c>
      <c r="D44" s="2" t="s">
        <v>10</v>
      </c>
      <c r="E44" s="2" t="s">
        <v>11</v>
      </c>
      <c r="F44" s="2" t="n">
        <v>6</v>
      </c>
      <c r="G44" s="2" t="n">
        <v>791</v>
      </c>
      <c r="H44" s="4" t="n">
        <f aca="false">F44*G44</f>
        <v>4746</v>
      </c>
      <c r="I44" s="2" t="str">
        <f aca="false">TEXT(B44,"mmm-yy")</f>
        <v>Sep-25</v>
      </c>
    </row>
    <row r="45" customFormat="false" ht="15" hidden="false" customHeight="false" outlineLevel="0" collapsed="false">
      <c r="A45" s="2" t="n">
        <v>1044</v>
      </c>
      <c r="B45" s="3" t="n">
        <v>45956</v>
      </c>
      <c r="C45" s="2" t="s">
        <v>12</v>
      </c>
      <c r="D45" s="2" t="s">
        <v>15</v>
      </c>
      <c r="E45" s="2" t="s">
        <v>16</v>
      </c>
      <c r="F45" s="2" t="n">
        <v>8</v>
      </c>
      <c r="G45" s="2" t="n">
        <v>5329</v>
      </c>
      <c r="H45" s="4" t="n">
        <f aca="false">F45*G45</f>
        <v>42632</v>
      </c>
      <c r="I45" s="2" t="str">
        <f aca="false">TEXT(B45,"mmm-yy")</f>
        <v>Oct-25</v>
      </c>
    </row>
    <row r="46" customFormat="false" ht="15" hidden="false" customHeight="false" outlineLevel="0" collapsed="false">
      <c r="A46" s="2" t="n">
        <v>1045</v>
      </c>
      <c r="B46" s="3" t="n">
        <v>45972</v>
      </c>
      <c r="C46" s="2" t="s">
        <v>14</v>
      </c>
      <c r="D46" s="2" t="s">
        <v>22</v>
      </c>
      <c r="E46" s="2" t="s">
        <v>11</v>
      </c>
      <c r="F46" s="2" t="n">
        <v>4</v>
      </c>
      <c r="G46" s="2" t="n">
        <v>586</v>
      </c>
      <c r="H46" s="4" t="n">
        <f aca="false">F46*G46</f>
        <v>2344</v>
      </c>
      <c r="I46" s="2" t="str">
        <f aca="false">TEXT(B46,"mmm-yy")</f>
        <v>Nov-25</v>
      </c>
    </row>
    <row r="47" customFormat="false" ht="15" hidden="false" customHeight="false" outlineLevel="0" collapsed="false">
      <c r="A47" s="2" t="n">
        <v>1046</v>
      </c>
      <c r="B47" s="3" t="n">
        <v>45939</v>
      </c>
      <c r="C47" s="2" t="s">
        <v>14</v>
      </c>
      <c r="D47" s="2" t="s">
        <v>13</v>
      </c>
      <c r="E47" s="2" t="s">
        <v>11</v>
      </c>
      <c r="F47" s="2" t="n">
        <v>9</v>
      </c>
      <c r="G47" s="2" t="n">
        <v>1909</v>
      </c>
      <c r="H47" s="4" t="n">
        <f aca="false">F47*G47</f>
        <v>17181</v>
      </c>
      <c r="I47" s="2" t="str">
        <f aca="false">TEXT(B47,"mmm-yy")</f>
        <v>Oct-25</v>
      </c>
    </row>
    <row r="48" customFormat="false" ht="15" hidden="false" customHeight="false" outlineLevel="0" collapsed="false">
      <c r="A48" s="2" t="n">
        <v>1047</v>
      </c>
      <c r="B48" s="3" t="n">
        <v>45908</v>
      </c>
      <c r="C48" s="2" t="s">
        <v>9</v>
      </c>
      <c r="D48" s="2" t="s">
        <v>15</v>
      </c>
      <c r="E48" s="2" t="s">
        <v>16</v>
      </c>
      <c r="F48" s="2" t="n">
        <v>8</v>
      </c>
      <c r="G48" s="2" t="n">
        <v>5316</v>
      </c>
      <c r="H48" s="4" t="n">
        <f aca="false">F48*G48</f>
        <v>42528</v>
      </c>
      <c r="I48" s="2" t="str">
        <f aca="false">TEXT(B48,"mmm-yy")</f>
        <v>Sep-25</v>
      </c>
    </row>
    <row r="49" customFormat="false" ht="15" hidden="false" customHeight="false" outlineLevel="0" collapsed="false">
      <c r="A49" s="2" t="n">
        <v>1048</v>
      </c>
      <c r="B49" s="3" t="n">
        <v>46147</v>
      </c>
      <c r="C49" s="2" t="s">
        <v>12</v>
      </c>
      <c r="D49" s="2" t="s">
        <v>17</v>
      </c>
      <c r="E49" s="2" t="s">
        <v>18</v>
      </c>
      <c r="F49" s="2" t="n">
        <v>3</v>
      </c>
      <c r="G49" s="2" t="n">
        <v>467</v>
      </c>
      <c r="H49" s="4" t="n">
        <f aca="false">F49*G49</f>
        <v>1401</v>
      </c>
      <c r="I49" s="2" t="str">
        <f aca="false">TEXT(B49,"mmm-yy")</f>
        <v>May-26</v>
      </c>
    </row>
    <row r="50" customFormat="false" ht="15" hidden="false" customHeight="false" outlineLevel="0" collapsed="false">
      <c r="A50" s="2" t="n">
        <v>1049</v>
      </c>
      <c r="B50" s="3" t="n">
        <v>46095</v>
      </c>
      <c r="C50" s="2" t="s">
        <v>9</v>
      </c>
      <c r="D50" s="2" t="s">
        <v>17</v>
      </c>
      <c r="E50" s="2" t="s">
        <v>18</v>
      </c>
      <c r="F50" s="2" t="n">
        <v>8</v>
      </c>
      <c r="G50" s="2" t="n">
        <v>438</v>
      </c>
      <c r="H50" s="4" t="n">
        <f aca="false">F50*G50</f>
        <v>3504</v>
      </c>
      <c r="I50" s="2" t="str">
        <f aca="false">TEXT(B50,"mmm-yy")</f>
        <v>Mar-26</v>
      </c>
    </row>
    <row r="51" customFormat="false" ht="15" hidden="false" customHeight="false" outlineLevel="0" collapsed="false">
      <c r="A51" s="2" t="n">
        <v>1050</v>
      </c>
      <c r="B51" s="3" t="n">
        <v>46047</v>
      </c>
      <c r="C51" s="2" t="s">
        <v>14</v>
      </c>
      <c r="D51" s="2" t="s">
        <v>23</v>
      </c>
      <c r="E51" s="2" t="s">
        <v>18</v>
      </c>
      <c r="F51" s="2" t="n">
        <v>5</v>
      </c>
      <c r="G51" s="2" t="n">
        <v>2220</v>
      </c>
      <c r="H51" s="4" t="n">
        <f aca="false">F51*G51</f>
        <v>11100</v>
      </c>
      <c r="I51" s="2" t="str">
        <f aca="false">TEXT(B51,"mmm-yy")</f>
        <v>Jan-26</v>
      </c>
    </row>
    <row r="52" customFormat="false" ht="15" hidden="false" customHeight="false" outlineLevel="0" collapsed="false">
      <c r="A52" s="2" t="n">
        <v>1051</v>
      </c>
      <c r="B52" s="3" t="n">
        <v>46012</v>
      </c>
      <c r="C52" s="2" t="s">
        <v>9</v>
      </c>
      <c r="D52" s="2" t="s">
        <v>10</v>
      </c>
      <c r="E52" s="2" t="s">
        <v>11</v>
      </c>
      <c r="F52" s="2" t="n">
        <v>1</v>
      </c>
      <c r="G52" s="2" t="n">
        <v>819</v>
      </c>
      <c r="H52" s="4" t="n">
        <f aca="false">F52*G52</f>
        <v>819</v>
      </c>
      <c r="I52" s="2" t="str">
        <f aca="false">TEXT(B52,"mmm-yy")</f>
        <v>Dec-25</v>
      </c>
    </row>
    <row r="53" customFormat="false" ht="15" hidden="false" customHeight="false" outlineLevel="0" collapsed="false">
      <c r="A53" s="2" t="n">
        <v>1052</v>
      </c>
      <c r="B53" s="3" t="n">
        <v>45926</v>
      </c>
      <c r="C53" s="2" t="s">
        <v>14</v>
      </c>
      <c r="D53" s="2" t="s">
        <v>22</v>
      </c>
      <c r="E53" s="2" t="s">
        <v>11</v>
      </c>
      <c r="F53" s="2" t="n">
        <v>9</v>
      </c>
      <c r="G53" s="2" t="n">
        <v>572</v>
      </c>
      <c r="H53" s="4" t="n">
        <f aca="false">F53*G53</f>
        <v>5148</v>
      </c>
      <c r="I53" s="2" t="str">
        <f aca="false">TEXT(B53,"mmm-yy")</f>
        <v>Sep-25</v>
      </c>
    </row>
    <row r="54" customFormat="false" ht="15" hidden="false" customHeight="false" outlineLevel="0" collapsed="false">
      <c r="A54" s="2" t="n">
        <v>1053</v>
      </c>
      <c r="B54" s="3" t="n">
        <v>45942</v>
      </c>
      <c r="C54" s="2" t="s">
        <v>12</v>
      </c>
      <c r="D54" s="2" t="s">
        <v>13</v>
      </c>
      <c r="E54" s="2" t="s">
        <v>11</v>
      </c>
      <c r="F54" s="2" t="n">
        <v>11</v>
      </c>
      <c r="G54" s="2" t="n">
        <v>2018</v>
      </c>
      <c r="H54" s="4" t="n">
        <f aca="false">F54*G54</f>
        <v>22198</v>
      </c>
      <c r="I54" s="2" t="str">
        <f aca="false">TEXT(B54,"mmm-yy")</f>
        <v>Oct-25</v>
      </c>
    </row>
    <row r="55" customFormat="false" ht="15" hidden="false" customHeight="false" outlineLevel="0" collapsed="false">
      <c r="A55" s="2" t="n">
        <v>1054</v>
      </c>
      <c r="B55" s="3" t="n">
        <v>46021</v>
      </c>
      <c r="C55" s="2" t="s">
        <v>14</v>
      </c>
      <c r="D55" s="2" t="s">
        <v>13</v>
      </c>
      <c r="E55" s="2" t="s">
        <v>11</v>
      </c>
      <c r="F55" s="2" t="n">
        <v>10</v>
      </c>
      <c r="G55" s="2" t="n">
        <v>2087</v>
      </c>
      <c r="H55" s="4" t="n">
        <f aca="false">F55*G55</f>
        <v>20870</v>
      </c>
      <c r="I55" s="2" t="str">
        <f aca="false">TEXT(B55,"mmm-yy")</f>
        <v>Dec-25</v>
      </c>
    </row>
    <row r="56" customFormat="false" ht="15" hidden="false" customHeight="false" outlineLevel="0" collapsed="false">
      <c r="A56" s="2" t="n">
        <v>1055</v>
      </c>
      <c r="B56" s="3" t="n">
        <v>46027</v>
      </c>
      <c r="C56" s="2" t="s">
        <v>9</v>
      </c>
      <c r="D56" s="2" t="s">
        <v>13</v>
      </c>
      <c r="E56" s="2" t="s">
        <v>11</v>
      </c>
      <c r="F56" s="2" t="n">
        <v>10</v>
      </c>
      <c r="G56" s="2" t="n">
        <v>1983</v>
      </c>
      <c r="H56" s="4" t="n">
        <f aca="false">F56*G56</f>
        <v>19830</v>
      </c>
      <c r="I56" s="2" t="str">
        <f aca="false">TEXT(B56,"mmm-yy")</f>
        <v>Jan-26</v>
      </c>
    </row>
    <row r="57" customFormat="false" ht="15" hidden="false" customHeight="false" outlineLevel="0" collapsed="false">
      <c r="A57" s="2" t="n">
        <v>1056</v>
      </c>
      <c r="B57" s="3" t="n">
        <v>46190</v>
      </c>
      <c r="C57" s="2" t="s">
        <v>19</v>
      </c>
      <c r="D57" s="2" t="s">
        <v>20</v>
      </c>
      <c r="E57" s="2" t="s">
        <v>16</v>
      </c>
      <c r="F57" s="2" t="n">
        <v>12</v>
      </c>
      <c r="G57" s="2" t="n">
        <v>8733</v>
      </c>
      <c r="H57" s="4" t="n">
        <f aca="false">F57*G57</f>
        <v>104796</v>
      </c>
      <c r="I57" s="2" t="str">
        <f aca="false">TEXT(B57,"mmm-yy")</f>
        <v>Jun-26</v>
      </c>
    </row>
    <row r="58" customFormat="false" ht="15" hidden="false" customHeight="false" outlineLevel="0" collapsed="false">
      <c r="A58" s="2" t="n">
        <v>1057</v>
      </c>
      <c r="B58" s="3" t="n">
        <v>46061</v>
      </c>
      <c r="C58" s="2" t="s">
        <v>12</v>
      </c>
      <c r="D58" s="2" t="s">
        <v>20</v>
      </c>
      <c r="E58" s="2" t="s">
        <v>16</v>
      </c>
      <c r="F58" s="2" t="n">
        <v>11</v>
      </c>
      <c r="G58" s="2" t="n">
        <v>8905</v>
      </c>
      <c r="H58" s="4" t="n">
        <f aca="false">F58*G58</f>
        <v>97955</v>
      </c>
      <c r="I58" s="2" t="str">
        <f aca="false">TEXT(B58,"mmm-yy")</f>
        <v>Feb-26</v>
      </c>
    </row>
    <row r="59" customFormat="false" ht="15" hidden="false" customHeight="false" outlineLevel="0" collapsed="false">
      <c r="A59" s="2" t="n">
        <v>1058</v>
      </c>
      <c r="B59" s="3" t="n">
        <v>46231</v>
      </c>
      <c r="C59" s="2" t="s">
        <v>19</v>
      </c>
      <c r="D59" s="2" t="s">
        <v>23</v>
      </c>
      <c r="E59" s="2" t="s">
        <v>18</v>
      </c>
      <c r="F59" s="2" t="n">
        <v>2</v>
      </c>
      <c r="G59" s="2" t="n">
        <v>2257</v>
      </c>
      <c r="H59" s="4" t="n">
        <f aca="false">F59*G59</f>
        <v>4514</v>
      </c>
      <c r="I59" s="2" t="str">
        <f aca="false">TEXT(B59,"mmm-yy")</f>
        <v>Jul-26</v>
      </c>
    </row>
    <row r="60" customFormat="false" ht="15" hidden="false" customHeight="false" outlineLevel="0" collapsed="false">
      <c r="A60" s="2" t="n">
        <v>1059</v>
      </c>
      <c r="B60" s="3" t="n">
        <v>45905</v>
      </c>
      <c r="C60" s="2" t="s">
        <v>14</v>
      </c>
      <c r="D60" s="2" t="s">
        <v>13</v>
      </c>
      <c r="E60" s="2" t="s">
        <v>11</v>
      </c>
      <c r="F60" s="2" t="n">
        <v>4</v>
      </c>
      <c r="G60" s="2" t="n">
        <v>1914</v>
      </c>
      <c r="H60" s="4" t="n">
        <f aca="false">F60*G60</f>
        <v>7656</v>
      </c>
      <c r="I60" s="2" t="str">
        <f aca="false">TEXT(B60,"mmm-yy")</f>
        <v>Sep-25</v>
      </c>
    </row>
    <row r="61" customFormat="false" ht="15" hidden="false" customHeight="false" outlineLevel="0" collapsed="false">
      <c r="A61" s="2" t="n">
        <v>1060</v>
      </c>
      <c r="B61" s="3" t="n">
        <v>46160</v>
      </c>
      <c r="C61" s="2" t="s">
        <v>19</v>
      </c>
      <c r="D61" s="2" t="s">
        <v>22</v>
      </c>
      <c r="E61" s="2" t="s">
        <v>11</v>
      </c>
      <c r="F61" s="2" t="n">
        <v>2</v>
      </c>
      <c r="G61" s="2" t="n">
        <v>625</v>
      </c>
      <c r="H61" s="4" t="n">
        <f aca="false">F61*G61</f>
        <v>1250</v>
      </c>
      <c r="I61" s="2" t="str">
        <f aca="false">TEXT(B61,"mmm-yy")</f>
        <v>May-26</v>
      </c>
    </row>
    <row r="62" customFormat="false" ht="15" hidden="false" customHeight="false" outlineLevel="0" collapsed="false">
      <c r="A62" s="2" t="n">
        <v>1061</v>
      </c>
      <c r="B62" s="3" t="n">
        <v>46026</v>
      </c>
      <c r="C62" s="2" t="s">
        <v>19</v>
      </c>
      <c r="D62" s="2" t="s">
        <v>20</v>
      </c>
      <c r="E62" s="2" t="s">
        <v>16</v>
      </c>
      <c r="F62" s="2" t="n">
        <v>9</v>
      </c>
      <c r="G62" s="2" t="n">
        <v>8691</v>
      </c>
      <c r="H62" s="4" t="n">
        <f aca="false">F62*G62</f>
        <v>78219</v>
      </c>
      <c r="I62" s="2" t="str">
        <f aca="false">TEXT(B62,"mmm-yy")</f>
        <v>Jan-26</v>
      </c>
    </row>
    <row r="63" customFormat="false" ht="15" hidden="false" customHeight="false" outlineLevel="0" collapsed="false">
      <c r="A63" s="2" t="n">
        <v>1062</v>
      </c>
      <c r="B63" s="3" t="n">
        <v>46261</v>
      </c>
      <c r="C63" s="2" t="s">
        <v>19</v>
      </c>
      <c r="D63" s="2" t="s">
        <v>10</v>
      </c>
      <c r="E63" s="2" t="s">
        <v>11</v>
      </c>
      <c r="F63" s="2" t="n">
        <v>9</v>
      </c>
      <c r="G63" s="2" t="n">
        <v>812</v>
      </c>
      <c r="H63" s="4" t="n">
        <f aca="false">F63*G63</f>
        <v>7308</v>
      </c>
      <c r="I63" s="2" t="str">
        <f aca="false">TEXT(B63,"mmm-yy")</f>
        <v>Aug-26</v>
      </c>
    </row>
    <row r="64" customFormat="false" ht="15" hidden="false" customHeight="false" outlineLevel="0" collapsed="false">
      <c r="A64" s="2" t="n">
        <v>1063</v>
      </c>
      <c r="B64" s="3" t="n">
        <v>46054</v>
      </c>
      <c r="C64" s="2" t="s">
        <v>9</v>
      </c>
      <c r="D64" s="2" t="s">
        <v>22</v>
      </c>
      <c r="E64" s="2" t="s">
        <v>11</v>
      </c>
      <c r="F64" s="2" t="n">
        <v>2</v>
      </c>
      <c r="G64" s="2" t="n">
        <v>585</v>
      </c>
      <c r="H64" s="4" t="n">
        <f aca="false">F64*G64</f>
        <v>1170</v>
      </c>
      <c r="I64" s="2" t="str">
        <f aca="false">TEXT(B64,"mmm-yy")</f>
        <v>Feb-26</v>
      </c>
    </row>
    <row r="65" customFormat="false" ht="15" hidden="false" customHeight="false" outlineLevel="0" collapsed="false">
      <c r="A65" s="2" t="n">
        <v>1064</v>
      </c>
      <c r="B65" s="3" t="n">
        <v>46184</v>
      </c>
      <c r="C65" s="2" t="s">
        <v>12</v>
      </c>
      <c r="D65" s="2" t="s">
        <v>20</v>
      </c>
      <c r="E65" s="2" t="s">
        <v>16</v>
      </c>
      <c r="F65" s="2" t="n">
        <v>4</v>
      </c>
      <c r="G65" s="2" t="n">
        <v>8803</v>
      </c>
      <c r="H65" s="4" t="n">
        <f aca="false">F65*G65</f>
        <v>35212</v>
      </c>
      <c r="I65" s="2" t="str">
        <f aca="false">TEXT(B65,"mmm-yy")</f>
        <v>Jun-26</v>
      </c>
    </row>
    <row r="66" customFormat="false" ht="15" hidden="false" customHeight="false" outlineLevel="0" collapsed="false">
      <c r="A66" s="2" t="n">
        <v>1065</v>
      </c>
      <c r="B66" s="3" t="n">
        <v>46076</v>
      </c>
      <c r="C66" s="2" t="s">
        <v>12</v>
      </c>
      <c r="D66" s="2" t="s">
        <v>20</v>
      </c>
      <c r="E66" s="2" t="s">
        <v>16</v>
      </c>
      <c r="F66" s="2" t="n">
        <v>5</v>
      </c>
      <c r="G66" s="2" t="n">
        <v>9004</v>
      </c>
      <c r="H66" s="4" t="n">
        <f aca="false">F66*G66</f>
        <v>45020</v>
      </c>
      <c r="I66" s="2" t="str">
        <f aca="false">TEXT(B66,"mmm-yy")</f>
        <v>Feb-26</v>
      </c>
    </row>
    <row r="67" customFormat="false" ht="15" hidden="false" customHeight="false" outlineLevel="0" collapsed="false">
      <c r="A67" s="2" t="n">
        <v>1066</v>
      </c>
      <c r="B67" s="3" t="n">
        <v>45927</v>
      </c>
      <c r="C67" s="2" t="s">
        <v>9</v>
      </c>
      <c r="D67" s="2" t="s">
        <v>17</v>
      </c>
      <c r="E67" s="2" t="s">
        <v>18</v>
      </c>
      <c r="F67" s="2" t="n">
        <v>1</v>
      </c>
      <c r="G67" s="2" t="n">
        <v>464</v>
      </c>
      <c r="H67" s="4" t="n">
        <f aca="false">F67*G67</f>
        <v>464</v>
      </c>
      <c r="I67" s="2" t="str">
        <f aca="false">TEXT(B67,"mmm-yy")</f>
        <v>Sep-25</v>
      </c>
    </row>
    <row r="68" customFormat="false" ht="15" hidden="false" customHeight="false" outlineLevel="0" collapsed="false">
      <c r="A68" s="2" t="n">
        <v>1067</v>
      </c>
      <c r="B68" s="3" t="n">
        <v>45902</v>
      </c>
      <c r="C68" s="2" t="s">
        <v>19</v>
      </c>
      <c r="D68" s="2" t="s">
        <v>22</v>
      </c>
      <c r="E68" s="2" t="s">
        <v>11</v>
      </c>
      <c r="F68" s="2" t="n">
        <v>5</v>
      </c>
      <c r="G68" s="2" t="n">
        <v>607</v>
      </c>
      <c r="H68" s="4" t="n">
        <f aca="false">F68*G68</f>
        <v>3035</v>
      </c>
      <c r="I68" s="2" t="str">
        <f aca="false">TEXT(B68,"mmm-yy")</f>
        <v>Sep-25</v>
      </c>
    </row>
    <row r="69" customFormat="false" ht="15" hidden="false" customHeight="false" outlineLevel="0" collapsed="false">
      <c r="A69" s="2" t="n">
        <v>1068</v>
      </c>
      <c r="B69" s="3" t="n">
        <v>45983</v>
      </c>
      <c r="C69" s="2" t="s">
        <v>14</v>
      </c>
      <c r="D69" s="2" t="s">
        <v>17</v>
      </c>
      <c r="E69" s="2" t="s">
        <v>18</v>
      </c>
      <c r="F69" s="2" t="n">
        <v>2</v>
      </c>
      <c r="G69" s="2" t="n">
        <v>452</v>
      </c>
      <c r="H69" s="4" t="n">
        <f aca="false">F69*G69</f>
        <v>904</v>
      </c>
      <c r="I69" s="2" t="str">
        <f aca="false">TEXT(B69,"mmm-yy")</f>
        <v>Nov-25</v>
      </c>
    </row>
    <row r="70" customFormat="false" ht="15" hidden="false" customHeight="false" outlineLevel="0" collapsed="false">
      <c r="A70" s="2" t="n">
        <v>1069</v>
      </c>
      <c r="B70" s="3" t="n">
        <v>45939</v>
      </c>
      <c r="C70" s="2" t="s">
        <v>12</v>
      </c>
      <c r="D70" s="2" t="s">
        <v>10</v>
      </c>
      <c r="E70" s="2" t="s">
        <v>11</v>
      </c>
      <c r="F70" s="2" t="n">
        <v>10</v>
      </c>
      <c r="G70" s="2" t="n">
        <v>826</v>
      </c>
      <c r="H70" s="4" t="n">
        <f aca="false">F70*G70</f>
        <v>8260</v>
      </c>
      <c r="I70" s="2" t="str">
        <f aca="false">TEXT(B70,"mmm-yy")</f>
        <v>Oct-25</v>
      </c>
    </row>
    <row r="71" customFormat="false" ht="15" hidden="false" customHeight="false" outlineLevel="0" collapsed="false">
      <c r="A71" s="2" t="n">
        <v>1070</v>
      </c>
      <c r="B71" s="3" t="n">
        <v>46183</v>
      </c>
      <c r="C71" s="2" t="s">
        <v>12</v>
      </c>
      <c r="D71" s="2" t="s">
        <v>17</v>
      </c>
      <c r="E71" s="2" t="s">
        <v>18</v>
      </c>
      <c r="F71" s="2" t="n">
        <v>5</v>
      </c>
      <c r="G71" s="2" t="n">
        <v>432</v>
      </c>
      <c r="H71" s="4" t="n">
        <f aca="false">F71*G71</f>
        <v>2160</v>
      </c>
      <c r="I71" s="2" t="str">
        <f aca="false">TEXT(B71,"mmm-yy")</f>
        <v>Jun-26</v>
      </c>
    </row>
    <row r="72" customFormat="false" ht="15" hidden="false" customHeight="false" outlineLevel="0" collapsed="false">
      <c r="A72" s="2" t="n">
        <v>1071</v>
      </c>
      <c r="B72" s="3" t="n">
        <v>46087</v>
      </c>
      <c r="C72" s="2" t="s">
        <v>9</v>
      </c>
      <c r="D72" s="2" t="s">
        <v>21</v>
      </c>
      <c r="E72" s="2" t="s">
        <v>16</v>
      </c>
      <c r="F72" s="2" t="n">
        <v>4</v>
      </c>
      <c r="G72" s="2" t="n">
        <v>3203</v>
      </c>
      <c r="H72" s="4" t="n">
        <f aca="false">F72*G72</f>
        <v>12812</v>
      </c>
      <c r="I72" s="2" t="str">
        <f aca="false">TEXT(B72,"mmm-yy")</f>
        <v>Mar-26</v>
      </c>
    </row>
    <row r="73" customFormat="false" ht="15" hidden="false" customHeight="false" outlineLevel="0" collapsed="false">
      <c r="A73" s="2" t="n">
        <v>1072</v>
      </c>
      <c r="B73" s="3" t="n">
        <v>46242</v>
      </c>
      <c r="C73" s="2" t="s">
        <v>9</v>
      </c>
      <c r="D73" s="2" t="s">
        <v>21</v>
      </c>
      <c r="E73" s="2" t="s">
        <v>16</v>
      </c>
      <c r="F73" s="2" t="n">
        <v>7</v>
      </c>
      <c r="G73" s="2" t="n">
        <v>3391</v>
      </c>
      <c r="H73" s="4" t="n">
        <f aca="false">F73*G73</f>
        <v>23737</v>
      </c>
      <c r="I73" s="2" t="str">
        <f aca="false">TEXT(B73,"mmm-yy")</f>
        <v>Aug-26</v>
      </c>
    </row>
    <row r="74" customFormat="false" ht="15" hidden="false" customHeight="false" outlineLevel="0" collapsed="false">
      <c r="A74" s="2" t="n">
        <v>1073</v>
      </c>
      <c r="B74" s="3" t="n">
        <v>46218</v>
      </c>
      <c r="C74" s="2" t="s">
        <v>12</v>
      </c>
      <c r="D74" s="2" t="s">
        <v>15</v>
      </c>
      <c r="E74" s="2" t="s">
        <v>16</v>
      </c>
      <c r="F74" s="2" t="n">
        <v>3</v>
      </c>
      <c r="G74" s="2" t="n">
        <v>5699</v>
      </c>
      <c r="H74" s="4" t="n">
        <f aca="false">F74*G74</f>
        <v>17097</v>
      </c>
      <c r="I74" s="2" t="str">
        <f aca="false">TEXT(B74,"mmm-yy")</f>
        <v>Jul-26</v>
      </c>
    </row>
    <row r="75" customFormat="false" ht="15" hidden="false" customHeight="false" outlineLevel="0" collapsed="false">
      <c r="A75" s="2" t="n">
        <v>1074</v>
      </c>
      <c r="B75" s="3" t="n">
        <v>46112</v>
      </c>
      <c r="C75" s="2" t="s">
        <v>9</v>
      </c>
      <c r="D75" s="2" t="s">
        <v>22</v>
      </c>
      <c r="E75" s="2" t="s">
        <v>11</v>
      </c>
      <c r="F75" s="2" t="n">
        <v>6</v>
      </c>
      <c r="G75" s="2" t="n">
        <v>613</v>
      </c>
      <c r="H75" s="4" t="n">
        <f aca="false">F75*G75</f>
        <v>3678</v>
      </c>
      <c r="I75" s="2" t="str">
        <f aca="false">TEXT(B75,"mmm-yy")</f>
        <v>Mar-26</v>
      </c>
    </row>
    <row r="76" customFormat="false" ht="15" hidden="false" customHeight="false" outlineLevel="0" collapsed="false">
      <c r="A76" s="2" t="n">
        <v>1075</v>
      </c>
      <c r="B76" s="3" t="n">
        <v>46111</v>
      </c>
      <c r="C76" s="2" t="s">
        <v>12</v>
      </c>
      <c r="D76" s="2" t="s">
        <v>20</v>
      </c>
      <c r="E76" s="2" t="s">
        <v>16</v>
      </c>
      <c r="F76" s="2" t="n">
        <v>12</v>
      </c>
      <c r="G76" s="2" t="n">
        <v>8692</v>
      </c>
      <c r="H76" s="4" t="n">
        <f aca="false">F76*G76</f>
        <v>104304</v>
      </c>
      <c r="I76" s="2" t="str">
        <f aca="false">TEXT(B76,"mmm-yy")</f>
        <v>Mar-26</v>
      </c>
    </row>
    <row r="77" customFormat="false" ht="15" hidden="false" customHeight="false" outlineLevel="0" collapsed="false">
      <c r="A77" s="2" t="n">
        <v>1076</v>
      </c>
      <c r="B77" s="3" t="n">
        <v>45956</v>
      </c>
      <c r="C77" s="2" t="s">
        <v>14</v>
      </c>
      <c r="D77" s="2" t="s">
        <v>10</v>
      </c>
      <c r="E77" s="2" t="s">
        <v>11</v>
      </c>
      <c r="F77" s="2" t="n">
        <v>4</v>
      </c>
      <c r="G77" s="2" t="n">
        <v>828</v>
      </c>
      <c r="H77" s="4" t="n">
        <f aca="false">F77*G77</f>
        <v>3312</v>
      </c>
      <c r="I77" s="2" t="str">
        <f aca="false">TEXT(B77,"mmm-yy")</f>
        <v>Oct-25</v>
      </c>
    </row>
    <row r="78" customFormat="false" ht="15" hidden="false" customHeight="false" outlineLevel="0" collapsed="false">
      <c r="A78" s="2" t="n">
        <v>1077</v>
      </c>
      <c r="B78" s="3" t="n">
        <v>46003</v>
      </c>
      <c r="C78" s="2" t="s">
        <v>14</v>
      </c>
      <c r="D78" s="2" t="s">
        <v>21</v>
      </c>
      <c r="E78" s="2" t="s">
        <v>16</v>
      </c>
      <c r="F78" s="2" t="n">
        <v>4</v>
      </c>
      <c r="G78" s="2" t="n">
        <v>3235</v>
      </c>
      <c r="H78" s="4" t="n">
        <f aca="false">F78*G78</f>
        <v>12940</v>
      </c>
      <c r="I78" s="2" t="str">
        <f aca="false">TEXT(B78,"mmm-yy")</f>
        <v>Dec-25</v>
      </c>
    </row>
    <row r="79" customFormat="false" ht="15" hidden="false" customHeight="false" outlineLevel="0" collapsed="false">
      <c r="A79" s="2" t="n">
        <v>1078</v>
      </c>
      <c r="B79" s="3" t="n">
        <v>46015</v>
      </c>
      <c r="C79" s="2" t="s">
        <v>9</v>
      </c>
      <c r="D79" s="2" t="s">
        <v>15</v>
      </c>
      <c r="E79" s="2" t="s">
        <v>16</v>
      </c>
      <c r="F79" s="2" t="n">
        <v>5</v>
      </c>
      <c r="G79" s="2" t="n">
        <v>5443</v>
      </c>
      <c r="H79" s="4" t="n">
        <f aca="false">F79*G79</f>
        <v>27215</v>
      </c>
      <c r="I79" s="2" t="str">
        <f aca="false">TEXT(B79,"mmm-yy")</f>
        <v>Dec-25</v>
      </c>
    </row>
    <row r="80" customFormat="false" ht="15" hidden="false" customHeight="false" outlineLevel="0" collapsed="false">
      <c r="A80" s="2" t="n">
        <v>1079</v>
      </c>
      <c r="B80" s="3" t="n">
        <v>45936</v>
      </c>
      <c r="C80" s="2" t="s">
        <v>19</v>
      </c>
      <c r="D80" s="2" t="s">
        <v>21</v>
      </c>
      <c r="E80" s="2" t="s">
        <v>16</v>
      </c>
      <c r="F80" s="2" t="n">
        <v>7</v>
      </c>
      <c r="G80" s="2" t="n">
        <v>3346</v>
      </c>
      <c r="H80" s="4" t="n">
        <f aca="false">F80*G80</f>
        <v>23422</v>
      </c>
      <c r="I80" s="2" t="str">
        <f aca="false">TEXT(B80,"mmm-yy")</f>
        <v>Oct-25</v>
      </c>
    </row>
    <row r="81" customFormat="false" ht="15" hidden="false" customHeight="false" outlineLevel="0" collapsed="false">
      <c r="A81" s="2" t="n">
        <v>1080</v>
      </c>
      <c r="B81" s="3" t="n">
        <v>46248</v>
      </c>
      <c r="C81" s="2" t="s">
        <v>19</v>
      </c>
      <c r="D81" s="2" t="s">
        <v>10</v>
      </c>
      <c r="E81" s="2" t="s">
        <v>11</v>
      </c>
      <c r="F81" s="2" t="n">
        <v>5</v>
      </c>
      <c r="G81" s="2" t="n">
        <v>768</v>
      </c>
      <c r="H81" s="4" t="n">
        <f aca="false">F81*G81</f>
        <v>3840</v>
      </c>
      <c r="I81" s="2" t="str">
        <f aca="false">TEXT(B81,"mmm-yy")</f>
        <v>Aug-26</v>
      </c>
    </row>
    <row r="82" customFormat="false" ht="15" hidden="false" customHeight="false" outlineLevel="0" collapsed="false">
      <c r="A82" s="2" t="n">
        <v>1081</v>
      </c>
      <c r="B82" s="3" t="n">
        <v>45992</v>
      </c>
      <c r="C82" s="2" t="s">
        <v>19</v>
      </c>
      <c r="D82" s="2" t="s">
        <v>10</v>
      </c>
      <c r="E82" s="2" t="s">
        <v>11</v>
      </c>
      <c r="F82" s="2" t="n">
        <v>7</v>
      </c>
      <c r="G82" s="2" t="n">
        <v>768</v>
      </c>
      <c r="H82" s="4" t="n">
        <f aca="false">F82*G82</f>
        <v>5376</v>
      </c>
      <c r="I82" s="2" t="str">
        <f aca="false">TEXT(B82,"mmm-yy")</f>
        <v>Dec-25</v>
      </c>
    </row>
    <row r="83" customFormat="false" ht="15" hidden="false" customHeight="false" outlineLevel="0" collapsed="false">
      <c r="A83" s="2" t="n">
        <v>1082</v>
      </c>
      <c r="B83" s="3" t="n">
        <v>46077</v>
      </c>
      <c r="C83" s="2" t="s">
        <v>19</v>
      </c>
      <c r="D83" s="2" t="s">
        <v>17</v>
      </c>
      <c r="E83" s="2" t="s">
        <v>18</v>
      </c>
      <c r="F83" s="2" t="n">
        <v>9</v>
      </c>
      <c r="G83" s="2" t="n">
        <v>454</v>
      </c>
      <c r="H83" s="4" t="n">
        <f aca="false">F83*G83</f>
        <v>4086</v>
      </c>
      <c r="I83" s="2" t="str">
        <f aca="false">TEXT(B83,"mmm-yy")</f>
        <v>Feb-26</v>
      </c>
    </row>
    <row r="84" customFormat="false" ht="15" hidden="false" customHeight="false" outlineLevel="0" collapsed="false">
      <c r="A84" s="2" t="n">
        <v>1083</v>
      </c>
      <c r="B84" s="3" t="n">
        <v>45960</v>
      </c>
      <c r="C84" s="2" t="s">
        <v>14</v>
      </c>
      <c r="D84" s="2" t="s">
        <v>15</v>
      </c>
      <c r="E84" s="2" t="s">
        <v>16</v>
      </c>
      <c r="F84" s="2" t="n">
        <v>12</v>
      </c>
      <c r="G84" s="2" t="n">
        <v>5364</v>
      </c>
      <c r="H84" s="4" t="n">
        <f aca="false">F84*G84</f>
        <v>64368</v>
      </c>
      <c r="I84" s="2" t="str">
        <f aca="false">TEXT(B84,"mmm-yy")</f>
        <v>Oct-25</v>
      </c>
    </row>
    <row r="85" customFormat="false" ht="15" hidden="false" customHeight="false" outlineLevel="0" collapsed="false">
      <c r="A85" s="2" t="n">
        <v>1084</v>
      </c>
      <c r="B85" s="3" t="n">
        <v>46124</v>
      </c>
      <c r="C85" s="2" t="s">
        <v>9</v>
      </c>
      <c r="D85" s="2" t="s">
        <v>15</v>
      </c>
      <c r="E85" s="2" t="s">
        <v>16</v>
      </c>
      <c r="F85" s="2" t="n">
        <v>2</v>
      </c>
      <c r="G85" s="2" t="n">
        <v>5424</v>
      </c>
      <c r="H85" s="4" t="n">
        <f aca="false">F85*G85</f>
        <v>10848</v>
      </c>
      <c r="I85" s="2" t="str">
        <f aca="false">TEXT(B85,"mmm-yy")</f>
        <v>Apr-26</v>
      </c>
    </row>
    <row r="86" customFormat="false" ht="15" hidden="false" customHeight="false" outlineLevel="0" collapsed="false">
      <c r="A86" s="2" t="n">
        <v>1085</v>
      </c>
      <c r="B86" s="3" t="n">
        <v>46241</v>
      </c>
      <c r="C86" s="2" t="s">
        <v>19</v>
      </c>
      <c r="D86" s="2" t="s">
        <v>21</v>
      </c>
      <c r="E86" s="2" t="s">
        <v>16</v>
      </c>
      <c r="F86" s="2" t="n">
        <v>2</v>
      </c>
      <c r="G86" s="2" t="n">
        <v>3353</v>
      </c>
      <c r="H86" s="4" t="n">
        <f aca="false">F86*G86</f>
        <v>6706</v>
      </c>
      <c r="I86" s="2" t="str">
        <f aca="false">TEXT(B86,"mmm-yy")</f>
        <v>Aug-26</v>
      </c>
    </row>
    <row r="87" customFormat="false" ht="15" hidden="false" customHeight="false" outlineLevel="0" collapsed="false">
      <c r="A87" s="2" t="n">
        <v>1086</v>
      </c>
      <c r="B87" s="3" t="n">
        <v>46054</v>
      </c>
      <c r="C87" s="2" t="s">
        <v>19</v>
      </c>
      <c r="D87" s="2" t="s">
        <v>17</v>
      </c>
      <c r="E87" s="2" t="s">
        <v>18</v>
      </c>
      <c r="F87" s="2" t="n">
        <v>12</v>
      </c>
      <c r="G87" s="2" t="n">
        <v>441</v>
      </c>
      <c r="H87" s="4" t="n">
        <f aca="false">F87*G87</f>
        <v>5292</v>
      </c>
      <c r="I87" s="2" t="str">
        <f aca="false">TEXT(B87,"mmm-yy")</f>
        <v>Feb-26</v>
      </c>
    </row>
    <row r="88" customFormat="false" ht="15" hidden="false" customHeight="false" outlineLevel="0" collapsed="false">
      <c r="A88" s="2" t="n">
        <v>1087</v>
      </c>
      <c r="B88" s="3" t="n">
        <v>46052</v>
      </c>
      <c r="C88" s="2" t="s">
        <v>12</v>
      </c>
      <c r="D88" s="2" t="s">
        <v>15</v>
      </c>
      <c r="E88" s="2" t="s">
        <v>16</v>
      </c>
      <c r="F88" s="2" t="n">
        <v>7</v>
      </c>
      <c r="G88" s="2" t="n">
        <v>5455</v>
      </c>
      <c r="H88" s="4" t="n">
        <f aca="false">F88*G88</f>
        <v>38185</v>
      </c>
      <c r="I88" s="2" t="str">
        <f aca="false">TEXT(B88,"mmm-yy")</f>
        <v>Jan-26</v>
      </c>
    </row>
    <row r="89" customFormat="false" ht="15" hidden="false" customHeight="false" outlineLevel="0" collapsed="false">
      <c r="A89" s="2" t="n">
        <v>1088</v>
      </c>
      <c r="B89" s="3" t="n">
        <v>46247</v>
      </c>
      <c r="C89" s="2" t="s">
        <v>12</v>
      </c>
      <c r="D89" s="2" t="s">
        <v>20</v>
      </c>
      <c r="E89" s="2" t="s">
        <v>16</v>
      </c>
      <c r="F89" s="2" t="n">
        <v>1</v>
      </c>
      <c r="G89" s="2" t="n">
        <v>8914</v>
      </c>
      <c r="H89" s="4" t="n">
        <f aca="false">F89*G89</f>
        <v>8914</v>
      </c>
      <c r="I89" s="2" t="str">
        <f aca="false">TEXT(B89,"mmm-yy")</f>
        <v>Aug-26</v>
      </c>
    </row>
    <row r="90" customFormat="false" ht="15" hidden="false" customHeight="false" outlineLevel="0" collapsed="false">
      <c r="A90" s="2" t="n">
        <v>1089</v>
      </c>
      <c r="B90" s="3" t="n">
        <v>46056</v>
      </c>
      <c r="C90" s="2" t="s">
        <v>19</v>
      </c>
      <c r="D90" s="2" t="s">
        <v>15</v>
      </c>
      <c r="E90" s="2" t="s">
        <v>16</v>
      </c>
      <c r="F90" s="2" t="n">
        <v>10</v>
      </c>
      <c r="G90" s="2" t="n">
        <v>5460</v>
      </c>
      <c r="H90" s="4" t="n">
        <f aca="false">F90*G90</f>
        <v>54600</v>
      </c>
      <c r="I90" s="2" t="str">
        <f aca="false">TEXT(B90,"mmm-yy")</f>
        <v>Feb-26</v>
      </c>
    </row>
    <row r="91" customFormat="false" ht="15" hidden="false" customHeight="false" outlineLevel="0" collapsed="false">
      <c r="A91" s="2" t="n">
        <v>1090</v>
      </c>
      <c r="B91" s="3" t="n">
        <v>46211</v>
      </c>
      <c r="C91" s="2" t="s">
        <v>19</v>
      </c>
      <c r="D91" s="2" t="s">
        <v>23</v>
      </c>
      <c r="E91" s="2" t="s">
        <v>18</v>
      </c>
      <c r="F91" s="2" t="n">
        <v>11</v>
      </c>
      <c r="G91" s="2" t="n">
        <v>2286</v>
      </c>
      <c r="H91" s="4" t="n">
        <f aca="false">F91*G91</f>
        <v>25146</v>
      </c>
      <c r="I91" s="2" t="str">
        <f aca="false">TEXT(B91,"mmm-yy")</f>
        <v>Jul-26</v>
      </c>
    </row>
    <row r="92" customFormat="false" ht="15" hidden="false" customHeight="false" outlineLevel="0" collapsed="false">
      <c r="A92" s="2" t="n">
        <v>1091</v>
      </c>
      <c r="B92" s="3" t="n">
        <v>46010</v>
      </c>
      <c r="C92" s="2" t="s">
        <v>14</v>
      </c>
      <c r="D92" s="2" t="s">
        <v>22</v>
      </c>
      <c r="E92" s="2" t="s">
        <v>11</v>
      </c>
      <c r="F92" s="2" t="n">
        <v>5</v>
      </c>
      <c r="G92" s="2" t="n">
        <v>609</v>
      </c>
      <c r="H92" s="4" t="n">
        <f aca="false">F92*G92</f>
        <v>3045</v>
      </c>
      <c r="I92" s="2" t="str">
        <f aca="false">TEXT(B92,"mmm-yy")</f>
        <v>Dec-25</v>
      </c>
    </row>
    <row r="93" customFormat="false" ht="15" hidden="false" customHeight="false" outlineLevel="0" collapsed="false">
      <c r="A93" s="2" t="n">
        <v>1092</v>
      </c>
      <c r="B93" s="3" t="n">
        <v>46164</v>
      </c>
      <c r="C93" s="2" t="s">
        <v>19</v>
      </c>
      <c r="D93" s="2" t="s">
        <v>13</v>
      </c>
      <c r="E93" s="2" t="s">
        <v>11</v>
      </c>
      <c r="F93" s="2" t="n">
        <v>4</v>
      </c>
      <c r="G93" s="2" t="n">
        <v>2063</v>
      </c>
      <c r="H93" s="4" t="n">
        <f aca="false">F93*G93</f>
        <v>8252</v>
      </c>
      <c r="I93" s="2" t="str">
        <f aca="false">TEXT(B93,"mmm-yy")</f>
        <v>May-26</v>
      </c>
    </row>
    <row r="94" customFormat="false" ht="15" hidden="false" customHeight="false" outlineLevel="0" collapsed="false">
      <c r="A94" s="2" t="n">
        <v>1093</v>
      </c>
      <c r="B94" s="3" t="n">
        <v>46245</v>
      </c>
      <c r="C94" s="2" t="s">
        <v>19</v>
      </c>
      <c r="D94" s="2" t="s">
        <v>15</v>
      </c>
      <c r="E94" s="2" t="s">
        <v>16</v>
      </c>
      <c r="F94" s="2" t="n">
        <v>3</v>
      </c>
      <c r="G94" s="2" t="n">
        <v>5668</v>
      </c>
      <c r="H94" s="4" t="n">
        <f aca="false">F94*G94</f>
        <v>17004</v>
      </c>
      <c r="I94" s="2" t="str">
        <f aca="false">TEXT(B94,"mmm-yy")</f>
        <v>Aug-26</v>
      </c>
    </row>
    <row r="95" customFormat="false" ht="15" hidden="false" customHeight="false" outlineLevel="0" collapsed="false">
      <c r="A95" s="2" t="n">
        <v>1094</v>
      </c>
      <c r="B95" s="3" t="n">
        <v>45913</v>
      </c>
      <c r="C95" s="2" t="s">
        <v>9</v>
      </c>
      <c r="D95" s="2" t="s">
        <v>15</v>
      </c>
      <c r="E95" s="2" t="s">
        <v>16</v>
      </c>
      <c r="F95" s="2" t="n">
        <v>10</v>
      </c>
      <c r="G95" s="2" t="n">
        <v>5765</v>
      </c>
      <c r="H95" s="4" t="n">
        <f aca="false">F95*G95</f>
        <v>57650</v>
      </c>
      <c r="I95" s="2" t="str">
        <f aca="false">TEXT(B95,"mmm-yy")</f>
        <v>Sep-25</v>
      </c>
    </row>
    <row r="96" customFormat="false" ht="15" hidden="false" customHeight="false" outlineLevel="0" collapsed="false">
      <c r="A96" s="2" t="n">
        <v>1095</v>
      </c>
      <c r="B96" s="3" t="n">
        <v>45938</v>
      </c>
      <c r="C96" s="2" t="s">
        <v>14</v>
      </c>
      <c r="D96" s="2" t="s">
        <v>17</v>
      </c>
      <c r="E96" s="2" t="s">
        <v>18</v>
      </c>
      <c r="F96" s="2" t="n">
        <v>10</v>
      </c>
      <c r="G96" s="2" t="n">
        <v>466</v>
      </c>
      <c r="H96" s="4" t="n">
        <f aca="false">F96*G96</f>
        <v>4660</v>
      </c>
      <c r="I96" s="2" t="str">
        <f aca="false">TEXT(B96,"mmm-yy")</f>
        <v>Oct-25</v>
      </c>
    </row>
    <row r="97" customFormat="false" ht="15" hidden="false" customHeight="false" outlineLevel="0" collapsed="false">
      <c r="A97" s="2" t="n">
        <v>1096</v>
      </c>
      <c r="B97" s="3" t="n">
        <v>46000</v>
      </c>
      <c r="C97" s="2" t="s">
        <v>14</v>
      </c>
      <c r="D97" s="2" t="s">
        <v>23</v>
      </c>
      <c r="E97" s="2" t="s">
        <v>18</v>
      </c>
      <c r="F97" s="2" t="n">
        <v>3</v>
      </c>
      <c r="G97" s="2" t="n">
        <v>2276</v>
      </c>
      <c r="H97" s="4" t="n">
        <f aca="false">F97*G97</f>
        <v>6828</v>
      </c>
      <c r="I97" s="2" t="str">
        <f aca="false">TEXT(B97,"mmm-yy")</f>
        <v>Dec-25</v>
      </c>
    </row>
    <row r="98" customFormat="false" ht="15" hidden="false" customHeight="false" outlineLevel="0" collapsed="false">
      <c r="A98" s="2" t="n">
        <v>1097</v>
      </c>
      <c r="B98" s="3" t="n">
        <v>46236</v>
      </c>
      <c r="C98" s="2" t="s">
        <v>9</v>
      </c>
      <c r="D98" s="2" t="s">
        <v>13</v>
      </c>
      <c r="E98" s="2" t="s">
        <v>11</v>
      </c>
      <c r="F98" s="2" t="n">
        <v>4</v>
      </c>
      <c r="G98" s="2" t="n">
        <v>2055</v>
      </c>
      <c r="H98" s="4" t="n">
        <f aca="false">F98*G98</f>
        <v>8220</v>
      </c>
      <c r="I98" s="2" t="str">
        <f aca="false">TEXT(B98,"mmm-yy")</f>
        <v>Aug-26</v>
      </c>
    </row>
    <row r="99" customFormat="false" ht="15" hidden="false" customHeight="false" outlineLevel="0" collapsed="false">
      <c r="A99" s="2" t="n">
        <v>1098</v>
      </c>
      <c r="B99" s="3" t="n">
        <v>45991</v>
      </c>
      <c r="C99" s="2" t="s">
        <v>14</v>
      </c>
      <c r="D99" s="2" t="s">
        <v>10</v>
      </c>
      <c r="E99" s="2" t="s">
        <v>11</v>
      </c>
      <c r="F99" s="2" t="n">
        <v>2</v>
      </c>
      <c r="G99" s="2" t="n">
        <v>804</v>
      </c>
      <c r="H99" s="4" t="n">
        <f aca="false">F99*G99</f>
        <v>1608</v>
      </c>
      <c r="I99" s="2" t="str">
        <f aca="false">TEXT(B99,"mmm-yy")</f>
        <v>Nov-25</v>
      </c>
    </row>
    <row r="100" customFormat="false" ht="15" hidden="false" customHeight="false" outlineLevel="0" collapsed="false">
      <c r="A100" s="2" t="n">
        <v>1099</v>
      </c>
      <c r="B100" s="3" t="n">
        <v>46134</v>
      </c>
      <c r="C100" s="2" t="s">
        <v>12</v>
      </c>
      <c r="D100" s="2" t="s">
        <v>23</v>
      </c>
      <c r="E100" s="2" t="s">
        <v>18</v>
      </c>
      <c r="F100" s="2" t="n">
        <v>9</v>
      </c>
      <c r="G100" s="2" t="n">
        <v>2338</v>
      </c>
      <c r="H100" s="4" t="n">
        <f aca="false">F100*G100</f>
        <v>21042</v>
      </c>
      <c r="I100" s="2" t="str">
        <f aca="false">TEXT(B100,"mmm-yy")</f>
        <v>Apr-26</v>
      </c>
    </row>
    <row r="101" customFormat="false" ht="15" hidden="false" customHeight="false" outlineLevel="0" collapsed="false">
      <c r="A101" s="2" t="n">
        <v>1100</v>
      </c>
      <c r="B101" s="3" t="n">
        <v>46205</v>
      </c>
      <c r="C101" s="2" t="s">
        <v>19</v>
      </c>
      <c r="D101" s="2" t="s">
        <v>23</v>
      </c>
      <c r="E101" s="2" t="s">
        <v>18</v>
      </c>
      <c r="F101" s="2" t="n">
        <v>12</v>
      </c>
      <c r="G101" s="2" t="n">
        <v>2325</v>
      </c>
      <c r="H101" s="4" t="n">
        <f aca="false">F101*G101</f>
        <v>27900</v>
      </c>
      <c r="I101" s="2" t="str">
        <f aca="false">TEXT(B101,"mmm-yy")</f>
        <v>Jul-26</v>
      </c>
    </row>
    <row r="102" customFormat="false" ht="15" hidden="false" customHeight="false" outlineLevel="0" collapsed="false">
      <c r="A102" s="2" t="n">
        <v>1101</v>
      </c>
      <c r="B102" s="3" t="n">
        <v>46159</v>
      </c>
      <c r="C102" s="2" t="s">
        <v>14</v>
      </c>
      <c r="D102" s="2" t="s">
        <v>23</v>
      </c>
      <c r="E102" s="2" t="s">
        <v>18</v>
      </c>
      <c r="F102" s="2" t="n">
        <v>12</v>
      </c>
      <c r="G102" s="2" t="n">
        <v>2390</v>
      </c>
      <c r="H102" s="4" t="n">
        <f aca="false">F102*G102</f>
        <v>28680</v>
      </c>
      <c r="I102" s="2" t="str">
        <f aca="false">TEXT(B102,"mmm-yy")</f>
        <v>May-26</v>
      </c>
    </row>
    <row r="103" customFormat="false" ht="15" hidden="false" customHeight="false" outlineLevel="0" collapsed="false">
      <c r="A103" s="2" t="n">
        <v>1102</v>
      </c>
      <c r="B103" s="3" t="n">
        <v>46144</v>
      </c>
      <c r="C103" s="2" t="s">
        <v>14</v>
      </c>
      <c r="D103" s="2" t="s">
        <v>20</v>
      </c>
      <c r="E103" s="2" t="s">
        <v>16</v>
      </c>
      <c r="F103" s="2" t="n">
        <v>11</v>
      </c>
      <c r="G103" s="2" t="n">
        <v>9226</v>
      </c>
      <c r="H103" s="4" t="n">
        <f aca="false">F103*G103</f>
        <v>101486</v>
      </c>
      <c r="I103" s="2" t="str">
        <f aca="false">TEXT(B103,"mmm-yy")</f>
        <v>May-26</v>
      </c>
    </row>
    <row r="104" customFormat="false" ht="15" hidden="false" customHeight="false" outlineLevel="0" collapsed="false">
      <c r="A104" s="2" t="n">
        <v>1103</v>
      </c>
      <c r="B104" s="3" t="n">
        <v>46042</v>
      </c>
      <c r="C104" s="2" t="s">
        <v>14</v>
      </c>
      <c r="D104" s="2" t="s">
        <v>15</v>
      </c>
      <c r="E104" s="2" t="s">
        <v>16</v>
      </c>
      <c r="F104" s="2" t="n">
        <v>2</v>
      </c>
      <c r="G104" s="2" t="n">
        <v>5375</v>
      </c>
      <c r="H104" s="4" t="n">
        <f aca="false">F104*G104</f>
        <v>10750</v>
      </c>
      <c r="I104" s="2" t="str">
        <f aca="false">TEXT(B104,"mmm-yy")</f>
        <v>Jan-26</v>
      </c>
    </row>
    <row r="105" customFormat="false" ht="15" hidden="false" customHeight="false" outlineLevel="0" collapsed="false">
      <c r="A105" s="2" t="n">
        <v>1104</v>
      </c>
      <c r="B105" s="3" t="n">
        <v>46047</v>
      </c>
      <c r="C105" s="2" t="s">
        <v>12</v>
      </c>
      <c r="D105" s="2" t="s">
        <v>20</v>
      </c>
      <c r="E105" s="2" t="s">
        <v>16</v>
      </c>
      <c r="F105" s="2" t="n">
        <v>9</v>
      </c>
      <c r="G105" s="2" t="n">
        <v>8851</v>
      </c>
      <c r="H105" s="4" t="n">
        <f aca="false">F105*G105</f>
        <v>79659</v>
      </c>
      <c r="I105" s="2" t="str">
        <f aca="false">TEXT(B105,"mmm-yy")</f>
        <v>Jan-26</v>
      </c>
    </row>
    <row r="106" customFormat="false" ht="15" hidden="false" customHeight="false" outlineLevel="0" collapsed="false">
      <c r="A106" s="2" t="n">
        <v>1105</v>
      </c>
      <c r="B106" s="3" t="n">
        <v>45942</v>
      </c>
      <c r="C106" s="2" t="s">
        <v>12</v>
      </c>
      <c r="D106" s="2" t="s">
        <v>22</v>
      </c>
      <c r="E106" s="2" t="s">
        <v>11</v>
      </c>
      <c r="F106" s="2" t="n">
        <v>12</v>
      </c>
      <c r="G106" s="2" t="n">
        <v>583</v>
      </c>
      <c r="H106" s="4" t="n">
        <f aca="false">F106*G106</f>
        <v>6996</v>
      </c>
      <c r="I106" s="2" t="str">
        <f aca="false">TEXT(B106,"mmm-yy")</f>
        <v>Oct-25</v>
      </c>
    </row>
    <row r="107" customFormat="false" ht="15" hidden="false" customHeight="false" outlineLevel="0" collapsed="false">
      <c r="A107" s="2" t="n">
        <v>1106</v>
      </c>
      <c r="B107" s="3" t="n">
        <v>45979</v>
      </c>
      <c r="C107" s="2" t="s">
        <v>12</v>
      </c>
      <c r="D107" s="2" t="s">
        <v>13</v>
      </c>
      <c r="E107" s="2" t="s">
        <v>11</v>
      </c>
      <c r="F107" s="2" t="n">
        <v>6</v>
      </c>
      <c r="G107" s="2" t="n">
        <v>1982</v>
      </c>
      <c r="H107" s="4" t="n">
        <f aca="false">F107*G107</f>
        <v>11892</v>
      </c>
      <c r="I107" s="2" t="str">
        <f aca="false">TEXT(B107,"mmm-yy")</f>
        <v>Nov-25</v>
      </c>
    </row>
    <row r="108" customFormat="false" ht="15" hidden="false" customHeight="false" outlineLevel="0" collapsed="false">
      <c r="A108" s="2" t="n">
        <v>1107</v>
      </c>
      <c r="B108" s="3" t="n">
        <v>46178</v>
      </c>
      <c r="C108" s="2" t="s">
        <v>14</v>
      </c>
      <c r="D108" s="2" t="s">
        <v>17</v>
      </c>
      <c r="E108" s="2" t="s">
        <v>18</v>
      </c>
      <c r="F108" s="2" t="n">
        <v>7</v>
      </c>
      <c r="G108" s="2" t="n">
        <v>429</v>
      </c>
      <c r="H108" s="4" t="n">
        <f aca="false">F108*G108</f>
        <v>3003</v>
      </c>
      <c r="I108" s="2" t="str">
        <f aca="false">TEXT(B108,"mmm-yy")</f>
        <v>Jun-26</v>
      </c>
    </row>
    <row r="109" customFormat="false" ht="15" hidden="false" customHeight="false" outlineLevel="0" collapsed="false">
      <c r="A109" s="2" t="n">
        <v>1108</v>
      </c>
      <c r="B109" s="3" t="n">
        <v>46100</v>
      </c>
      <c r="C109" s="2" t="s">
        <v>9</v>
      </c>
      <c r="D109" s="2" t="s">
        <v>17</v>
      </c>
      <c r="E109" s="2" t="s">
        <v>18</v>
      </c>
      <c r="F109" s="2" t="n">
        <v>6</v>
      </c>
      <c r="G109" s="2" t="n">
        <v>448</v>
      </c>
      <c r="H109" s="4" t="n">
        <f aca="false">F109*G109</f>
        <v>2688</v>
      </c>
      <c r="I109" s="2" t="str">
        <f aca="false">TEXT(B109,"mmm-yy")</f>
        <v>Mar-26</v>
      </c>
    </row>
    <row r="110" customFormat="false" ht="15" hidden="false" customHeight="false" outlineLevel="0" collapsed="false">
      <c r="A110" s="2" t="n">
        <v>1109</v>
      </c>
      <c r="B110" s="3" t="n">
        <v>46053</v>
      </c>
      <c r="C110" s="2" t="s">
        <v>14</v>
      </c>
      <c r="D110" s="2" t="s">
        <v>17</v>
      </c>
      <c r="E110" s="2" t="s">
        <v>18</v>
      </c>
      <c r="F110" s="2" t="n">
        <v>12</v>
      </c>
      <c r="G110" s="2" t="n">
        <v>451</v>
      </c>
      <c r="H110" s="4" t="n">
        <f aca="false">F110*G110</f>
        <v>5412</v>
      </c>
      <c r="I110" s="2" t="str">
        <f aca="false">TEXT(B110,"mmm-yy")</f>
        <v>Jan-26</v>
      </c>
    </row>
    <row r="111" customFormat="false" ht="15" hidden="false" customHeight="false" outlineLevel="0" collapsed="false">
      <c r="A111" s="2" t="n">
        <v>1110</v>
      </c>
      <c r="B111" s="3" t="n">
        <v>46180</v>
      </c>
      <c r="C111" s="2" t="s">
        <v>12</v>
      </c>
      <c r="D111" s="2" t="s">
        <v>23</v>
      </c>
      <c r="E111" s="2" t="s">
        <v>18</v>
      </c>
      <c r="F111" s="2" t="n">
        <v>7</v>
      </c>
      <c r="G111" s="2" t="n">
        <v>2234</v>
      </c>
      <c r="H111" s="4" t="n">
        <f aca="false">F111*G111</f>
        <v>15638</v>
      </c>
      <c r="I111" s="2" t="str">
        <f aca="false">TEXT(B111,"mmm-yy")</f>
        <v>Jun-26</v>
      </c>
    </row>
    <row r="112" customFormat="false" ht="15" hidden="false" customHeight="false" outlineLevel="0" collapsed="false">
      <c r="A112" s="2" t="n">
        <v>1111</v>
      </c>
      <c r="B112" s="3" t="n">
        <v>46149</v>
      </c>
      <c r="C112" s="2" t="s">
        <v>9</v>
      </c>
      <c r="D112" s="2" t="s">
        <v>17</v>
      </c>
      <c r="E112" s="2" t="s">
        <v>18</v>
      </c>
      <c r="F112" s="2" t="n">
        <v>11</v>
      </c>
      <c r="G112" s="2" t="n">
        <v>442</v>
      </c>
      <c r="H112" s="4" t="n">
        <f aca="false">F112*G112</f>
        <v>4862</v>
      </c>
      <c r="I112" s="2" t="str">
        <f aca="false">TEXT(B112,"mmm-yy")</f>
        <v>May-26</v>
      </c>
    </row>
    <row r="113" customFormat="false" ht="15" hidden="false" customHeight="false" outlineLevel="0" collapsed="false">
      <c r="A113" s="2" t="n">
        <v>1112</v>
      </c>
      <c r="B113" s="3" t="n">
        <v>46108</v>
      </c>
      <c r="C113" s="2" t="s">
        <v>12</v>
      </c>
      <c r="D113" s="2" t="s">
        <v>23</v>
      </c>
      <c r="E113" s="2" t="s">
        <v>18</v>
      </c>
      <c r="F113" s="2" t="n">
        <v>10</v>
      </c>
      <c r="G113" s="2" t="n">
        <v>2395</v>
      </c>
      <c r="H113" s="4" t="n">
        <f aca="false">F113*G113</f>
        <v>23950</v>
      </c>
      <c r="I113" s="2" t="str">
        <f aca="false">TEXT(B113,"mmm-yy")</f>
        <v>Mar-26</v>
      </c>
    </row>
    <row r="114" customFormat="false" ht="15" hidden="false" customHeight="false" outlineLevel="0" collapsed="false">
      <c r="A114" s="2" t="n">
        <v>1113</v>
      </c>
      <c r="B114" s="3" t="n">
        <v>46174</v>
      </c>
      <c r="C114" s="2" t="s">
        <v>9</v>
      </c>
      <c r="D114" s="2" t="s">
        <v>17</v>
      </c>
      <c r="E114" s="2" t="s">
        <v>18</v>
      </c>
      <c r="F114" s="2" t="n">
        <v>11</v>
      </c>
      <c r="G114" s="2" t="n">
        <v>453</v>
      </c>
      <c r="H114" s="4" t="n">
        <f aca="false">F114*G114</f>
        <v>4983</v>
      </c>
      <c r="I114" s="2" t="str">
        <f aca="false">TEXT(B114,"mmm-yy")</f>
        <v>Jun-26</v>
      </c>
    </row>
    <row r="115" customFormat="false" ht="15" hidden="false" customHeight="false" outlineLevel="0" collapsed="false">
      <c r="A115" s="2" t="n">
        <v>1114</v>
      </c>
      <c r="B115" s="3" t="n">
        <v>45914</v>
      </c>
      <c r="C115" s="2" t="s">
        <v>9</v>
      </c>
      <c r="D115" s="2" t="s">
        <v>17</v>
      </c>
      <c r="E115" s="2" t="s">
        <v>18</v>
      </c>
      <c r="F115" s="2" t="n">
        <v>8</v>
      </c>
      <c r="G115" s="2" t="n">
        <v>433</v>
      </c>
      <c r="H115" s="4" t="n">
        <f aca="false">F115*G115</f>
        <v>3464</v>
      </c>
      <c r="I115" s="2" t="str">
        <f aca="false">TEXT(B115,"mmm-yy")</f>
        <v>Sep-25</v>
      </c>
    </row>
    <row r="116" customFormat="false" ht="15" hidden="false" customHeight="false" outlineLevel="0" collapsed="false">
      <c r="A116" s="2" t="n">
        <v>1115</v>
      </c>
      <c r="B116" s="3" t="n">
        <v>45994</v>
      </c>
      <c r="C116" s="2" t="s">
        <v>9</v>
      </c>
      <c r="D116" s="2" t="s">
        <v>20</v>
      </c>
      <c r="E116" s="2" t="s">
        <v>16</v>
      </c>
      <c r="F116" s="2" t="n">
        <v>4</v>
      </c>
      <c r="G116" s="2" t="n">
        <v>8890</v>
      </c>
      <c r="H116" s="4" t="n">
        <f aca="false">F116*G116</f>
        <v>35560</v>
      </c>
      <c r="I116" s="2" t="str">
        <f aca="false">TEXT(B116,"mmm-yy")</f>
        <v>Dec-25</v>
      </c>
    </row>
    <row r="117" customFormat="false" ht="15" hidden="false" customHeight="false" outlineLevel="0" collapsed="false">
      <c r="A117" s="2" t="n">
        <v>1116</v>
      </c>
      <c r="B117" s="3" t="n">
        <v>46133</v>
      </c>
      <c r="C117" s="2" t="s">
        <v>19</v>
      </c>
      <c r="D117" s="2" t="s">
        <v>21</v>
      </c>
      <c r="E117" s="2" t="s">
        <v>16</v>
      </c>
      <c r="F117" s="2" t="n">
        <v>7</v>
      </c>
      <c r="G117" s="2" t="n">
        <v>3385</v>
      </c>
      <c r="H117" s="4" t="n">
        <f aca="false">F117*G117</f>
        <v>23695</v>
      </c>
      <c r="I117" s="2" t="str">
        <f aca="false">TEXT(B117,"mmm-yy")</f>
        <v>Apr-26</v>
      </c>
    </row>
    <row r="118" customFormat="false" ht="15" hidden="false" customHeight="false" outlineLevel="0" collapsed="false">
      <c r="A118" s="2" t="n">
        <v>1117</v>
      </c>
      <c r="B118" s="3" t="n">
        <v>46043</v>
      </c>
      <c r="C118" s="2" t="s">
        <v>14</v>
      </c>
      <c r="D118" s="2" t="s">
        <v>20</v>
      </c>
      <c r="E118" s="2" t="s">
        <v>16</v>
      </c>
      <c r="F118" s="2" t="n">
        <v>8</v>
      </c>
      <c r="G118" s="2" t="n">
        <v>9300</v>
      </c>
      <c r="H118" s="4" t="n">
        <f aca="false">F118*G118</f>
        <v>74400</v>
      </c>
      <c r="I118" s="2" t="str">
        <f aca="false">TEXT(B118,"mmm-yy")</f>
        <v>Jan-26</v>
      </c>
    </row>
    <row r="119" customFormat="false" ht="15" hidden="false" customHeight="false" outlineLevel="0" collapsed="false">
      <c r="A119" s="2" t="n">
        <v>1118</v>
      </c>
      <c r="B119" s="3" t="n">
        <v>45910</v>
      </c>
      <c r="C119" s="2" t="s">
        <v>9</v>
      </c>
      <c r="D119" s="2" t="s">
        <v>21</v>
      </c>
      <c r="E119" s="2" t="s">
        <v>16</v>
      </c>
      <c r="F119" s="2" t="n">
        <v>2</v>
      </c>
      <c r="G119" s="2" t="n">
        <v>3208</v>
      </c>
      <c r="H119" s="4" t="n">
        <f aca="false">F119*G119</f>
        <v>6416</v>
      </c>
      <c r="I119" s="2" t="str">
        <f aca="false">TEXT(B119,"mmm-yy")</f>
        <v>Sep-25</v>
      </c>
    </row>
    <row r="120" customFormat="false" ht="15" hidden="false" customHeight="false" outlineLevel="0" collapsed="false">
      <c r="A120" s="2" t="n">
        <v>1119</v>
      </c>
      <c r="B120" s="3" t="n">
        <v>46234</v>
      </c>
      <c r="C120" s="2" t="s">
        <v>9</v>
      </c>
      <c r="D120" s="2" t="s">
        <v>10</v>
      </c>
      <c r="E120" s="2" t="s">
        <v>11</v>
      </c>
      <c r="F120" s="2" t="n">
        <v>4</v>
      </c>
      <c r="G120" s="2" t="n">
        <v>835</v>
      </c>
      <c r="H120" s="4" t="n">
        <f aca="false">F120*G120</f>
        <v>3340</v>
      </c>
      <c r="I120" s="2" t="str">
        <f aca="false">TEXT(B120,"mmm-yy")</f>
        <v>Jul-26</v>
      </c>
    </row>
    <row r="121" customFormat="false" ht="15" hidden="false" customHeight="false" outlineLevel="0" collapsed="false">
      <c r="A121" s="2" t="n">
        <v>1120</v>
      </c>
      <c r="B121" s="3" t="n">
        <v>45911</v>
      </c>
      <c r="C121" s="2" t="s">
        <v>12</v>
      </c>
      <c r="D121" s="2" t="s">
        <v>15</v>
      </c>
      <c r="E121" s="2" t="s">
        <v>16</v>
      </c>
      <c r="F121" s="2" t="n">
        <v>11</v>
      </c>
      <c r="G121" s="2" t="n">
        <v>5293</v>
      </c>
      <c r="H121" s="4" t="n">
        <f aca="false">F121*G121</f>
        <v>58223</v>
      </c>
      <c r="I121" s="2" t="str">
        <f aca="false">TEXT(B121,"mmm-yy")</f>
        <v>Sep-25</v>
      </c>
    </row>
    <row r="122" customFormat="false" ht="15" hidden="false" customHeight="false" outlineLevel="0" collapsed="false">
      <c r="A122" s="2" t="n">
        <v>1121</v>
      </c>
      <c r="B122" s="3" t="n">
        <v>45959</v>
      </c>
      <c r="C122" s="2" t="s">
        <v>12</v>
      </c>
      <c r="D122" s="2" t="s">
        <v>23</v>
      </c>
      <c r="E122" s="2" t="s">
        <v>18</v>
      </c>
      <c r="F122" s="2" t="n">
        <v>6</v>
      </c>
      <c r="G122" s="2" t="n">
        <v>2345</v>
      </c>
      <c r="H122" s="4" t="n">
        <f aca="false">F122*G122</f>
        <v>14070</v>
      </c>
      <c r="I122" s="2" t="str">
        <f aca="false">TEXT(B122,"mmm-yy")</f>
        <v>Oct-25</v>
      </c>
    </row>
    <row r="123" customFormat="false" ht="15" hidden="false" customHeight="false" outlineLevel="0" collapsed="false">
      <c r="A123" s="2" t="n">
        <v>1122</v>
      </c>
      <c r="B123" s="3" t="n">
        <v>45986</v>
      </c>
      <c r="C123" s="2" t="s">
        <v>9</v>
      </c>
      <c r="D123" s="2" t="s">
        <v>22</v>
      </c>
      <c r="E123" s="2" t="s">
        <v>11</v>
      </c>
      <c r="F123" s="2" t="n">
        <v>2</v>
      </c>
      <c r="G123" s="2" t="n">
        <v>627</v>
      </c>
      <c r="H123" s="4" t="n">
        <f aca="false">F123*G123</f>
        <v>1254</v>
      </c>
      <c r="I123" s="2" t="str">
        <f aca="false">TEXT(B123,"mmm-yy")</f>
        <v>Nov-25</v>
      </c>
    </row>
    <row r="124" customFormat="false" ht="15" hidden="false" customHeight="false" outlineLevel="0" collapsed="false">
      <c r="A124" s="2" t="n">
        <v>1123</v>
      </c>
      <c r="B124" s="3" t="n">
        <v>46197</v>
      </c>
      <c r="C124" s="2" t="s">
        <v>9</v>
      </c>
      <c r="D124" s="2" t="s">
        <v>20</v>
      </c>
      <c r="E124" s="2" t="s">
        <v>16</v>
      </c>
      <c r="F124" s="2" t="n">
        <v>7</v>
      </c>
      <c r="G124" s="2" t="n">
        <v>9067</v>
      </c>
      <c r="H124" s="4" t="n">
        <f aca="false">F124*G124</f>
        <v>63469</v>
      </c>
      <c r="I124" s="2" t="str">
        <f aca="false">TEXT(B124,"mmm-yy")</f>
        <v>Jun-26</v>
      </c>
    </row>
    <row r="125" customFormat="false" ht="15" hidden="false" customHeight="false" outlineLevel="0" collapsed="false">
      <c r="A125" s="2" t="n">
        <v>1124</v>
      </c>
      <c r="B125" s="3" t="n">
        <v>46104</v>
      </c>
      <c r="C125" s="2" t="s">
        <v>12</v>
      </c>
      <c r="D125" s="2" t="s">
        <v>13</v>
      </c>
      <c r="E125" s="2" t="s">
        <v>11</v>
      </c>
      <c r="F125" s="2" t="n">
        <v>11</v>
      </c>
      <c r="G125" s="2" t="n">
        <v>2017</v>
      </c>
      <c r="H125" s="4" t="n">
        <f aca="false">F125*G125</f>
        <v>22187</v>
      </c>
      <c r="I125" s="2" t="str">
        <f aca="false">TEXT(B125,"mmm-yy")</f>
        <v>Mar-26</v>
      </c>
    </row>
    <row r="126" customFormat="false" ht="15" hidden="false" customHeight="false" outlineLevel="0" collapsed="false">
      <c r="A126" s="2" t="n">
        <v>1125</v>
      </c>
      <c r="B126" s="3" t="n">
        <v>46025</v>
      </c>
      <c r="C126" s="2" t="s">
        <v>9</v>
      </c>
      <c r="D126" s="2" t="s">
        <v>20</v>
      </c>
      <c r="E126" s="2" t="s">
        <v>16</v>
      </c>
      <c r="F126" s="2" t="n">
        <v>10</v>
      </c>
      <c r="G126" s="2" t="n">
        <v>9314</v>
      </c>
      <c r="H126" s="4" t="n">
        <f aca="false">F126*G126</f>
        <v>93140</v>
      </c>
      <c r="I126" s="2" t="str">
        <f aca="false">TEXT(B126,"mmm-yy")</f>
        <v>Jan-26</v>
      </c>
    </row>
    <row r="127" customFormat="false" ht="15" hidden="false" customHeight="false" outlineLevel="0" collapsed="false">
      <c r="A127" s="2" t="n">
        <v>1126</v>
      </c>
      <c r="B127" s="3" t="n">
        <v>45962</v>
      </c>
      <c r="C127" s="2" t="s">
        <v>9</v>
      </c>
      <c r="D127" s="2" t="s">
        <v>21</v>
      </c>
      <c r="E127" s="2" t="s">
        <v>16</v>
      </c>
      <c r="F127" s="2" t="n">
        <v>11</v>
      </c>
      <c r="G127" s="2" t="n">
        <v>3310</v>
      </c>
      <c r="H127" s="4" t="n">
        <f aca="false">F127*G127</f>
        <v>36410</v>
      </c>
      <c r="I127" s="2" t="str">
        <f aca="false">TEXT(B127,"mmm-yy")</f>
        <v>Nov-25</v>
      </c>
    </row>
    <row r="128" customFormat="false" ht="15" hidden="false" customHeight="false" outlineLevel="0" collapsed="false">
      <c r="A128" s="2" t="n">
        <v>1127</v>
      </c>
      <c r="B128" s="3" t="n">
        <v>46090</v>
      </c>
      <c r="C128" s="2" t="s">
        <v>9</v>
      </c>
      <c r="D128" s="2" t="s">
        <v>21</v>
      </c>
      <c r="E128" s="2" t="s">
        <v>16</v>
      </c>
      <c r="F128" s="2" t="n">
        <v>7</v>
      </c>
      <c r="G128" s="2" t="n">
        <v>3138</v>
      </c>
      <c r="H128" s="4" t="n">
        <f aca="false">F128*G128</f>
        <v>21966</v>
      </c>
      <c r="I128" s="2" t="str">
        <f aca="false">TEXT(B128,"mmm-yy")</f>
        <v>Mar-26</v>
      </c>
    </row>
    <row r="129" customFormat="false" ht="15" hidden="false" customHeight="false" outlineLevel="0" collapsed="false">
      <c r="A129" s="2" t="n">
        <v>1128</v>
      </c>
      <c r="B129" s="3" t="n">
        <v>46151</v>
      </c>
      <c r="C129" s="2" t="s">
        <v>9</v>
      </c>
      <c r="D129" s="2" t="s">
        <v>17</v>
      </c>
      <c r="E129" s="2" t="s">
        <v>18</v>
      </c>
      <c r="F129" s="2" t="n">
        <v>11</v>
      </c>
      <c r="G129" s="2" t="n">
        <v>470</v>
      </c>
      <c r="H129" s="4" t="n">
        <f aca="false">F129*G129</f>
        <v>5170</v>
      </c>
      <c r="I129" s="2" t="str">
        <f aca="false">TEXT(B129,"mmm-yy")</f>
        <v>May-26</v>
      </c>
    </row>
    <row r="130" customFormat="false" ht="15" hidden="false" customHeight="false" outlineLevel="0" collapsed="false">
      <c r="A130" s="2" t="n">
        <v>1129</v>
      </c>
      <c r="B130" s="3" t="n">
        <v>46136</v>
      </c>
      <c r="C130" s="2" t="s">
        <v>12</v>
      </c>
      <c r="D130" s="2" t="s">
        <v>17</v>
      </c>
      <c r="E130" s="2" t="s">
        <v>18</v>
      </c>
      <c r="F130" s="2" t="n">
        <v>9</v>
      </c>
      <c r="G130" s="2" t="n">
        <v>434</v>
      </c>
      <c r="H130" s="4" t="n">
        <f aca="false">F130*G130</f>
        <v>3906</v>
      </c>
      <c r="I130" s="2" t="str">
        <f aca="false">TEXT(B130,"mmm-yy")</f>
        <v>Apr-26</v>
      </c>
    </row>
    <row r="131" customFormat="false" ht="15" hidden="false" customHeight="false" outlineLevel="0" collapsed="false">
      <c r="A131" s="2" t="n">
        <v>1130</v>
      </c>
      <c r="B131" s="3" t="n">
        <v>46234</v>
      </c>
      <c r="C131" s="2" t="s">
        <v>19</v>
      </c>
      <c r="D131" s="2" t="s">
        <v>23</v>
      </c>
      <c r="E131" s="2" t="s">
        <v>18</v>
      </c>
      <c r="F131" s="2" t="n">
        <v>12</v>
      </c>
      <c r="G131" s="2" t="n">
        <v>2291</v>
      </c>
      <c r="H131" s="4" t="n">
        <f aca="false">F131*G131</f>
        <v>27492</v>
      </c>
      <c r="I131" s="2" t="str">
        <f aca="false">TEXT(B131,"mmm-yy")</f>
        <v>Jul-26</v>
      </c>
    </row>
    <row r="132" customFormat="false" ht="15" hidden="false" customHeight="false" outlineLevel="0" collapsed="false">
      <c r="A132" s="2" t="n">
        <v>1131</v>
      </c>
      <c r="B132" s="3" t="n">
        <v>46204</v>
      </c>
      <c r="C132" s="2" t="s">
        <v>19</v>
      </c>
      <c r="D132" s="2" t="s">
        <v>21</v>
      </c>
      <c r="E132" s="2" t="s">
        <v>16</v>
      </c>
      <c r="F132" s="2" t="n">
        <v>2</v>
      </c>
      <c r="G132" s="2" t="n">
        <v>3415</v>
      </c>
      <c r="H132" s="4" t="n">
        <f aca="false">F132*G132</f>
        <v>6830</v>
      </c>
      <c r="I132" s="2" t="str">
        <f aca="false">TEXT(B132,"mmm-yy")</f>
        <v>Jul-26</v>
      </c>
    </row>
    <row r="133" customFormat="false" ht="15" hidden="false" customHeight="false" outlineLevel="0" collapsed="false">
      <c r="A133" s="2" t="n">
        <v>1132</v>
      </c>
      <c r="B133" s="3" t="n">
        <v>46043</v>
      </c>
      <c r="C133" s="2" t="s">
        <v>14</v>
      </c>
      <c r="D133" s="2" t="s">
        <v>15</v>
      </c>
      <c r="E133" s="2" t="s">
        <v>16</v>
      </c>
      <c r="F133" s="2" t="n">
        <v>10</v>
      </c>
      <c r="G133" s="2" t="n">
        <v>5637</v>
      </c>
      <c r="H133" s="4" t="n">
        <f aca="false">F133*G133</f>
        <v>56370</v>
      </c>
      <c r="I133" s="2" t="str">
        <f aca="false">TEXT(B133,"mmm-yy")</f>
        <v>Jan-26</v>
      </c>
    </row>
    <row r="134" customFormat="false" ht="15" hidden="false" customHeight="false" outlineLevel="0" collapsed="false">
      <c r="A134" s="2" t="n">
        <v>1133</v>
      </c>
      <c r="B134" s="3" t="n">
        <v>46213</v>
      </c>
      <c r="C134" s="2" t="s">
        <v>14</v>
      </c>
      <c r="D134" s="2" t="s">
        <v>21</v>
      </c>
      <c r="E134" s="2" t="s">
        <v>16</v>
      </c>
      <c r="F134" s="2" t="n">
        <v>6</v>
      </c>
      <c r="G134" s="2" t="n">
        <v>3144</v>
      </c>
      <c r="H134" s="4" t="n">
        <f aca="false">F134*G134</f>
        <v>18864</v>
      </c>
      <c r="I134" s="2" t="str">
        <f aca="false">TEXT(B134,"mmm-yy")</f>
        <v>Jul-26</v>
      </c>
    </row>
    <row r="135" customFormat="false" ht="15" hidden="false" customHeight="false" outlineLevel="0" collapsed="false">
      <c r="A135" s="2" t="n">
        <v>1134</v>
      </c>
      <c r="B135" s="3" t="n">
        <v>45994</v>
      </c>
      <c r="C135" s="2" t="s">
        <v>14</v>
      </c>
      <c r="D135" s="2" t="s">
        <v>15</v>
      </c>
      <c r="E135" s="2" t="s">
        <v>16</v>
      </c>
      <c r="F135" s="2" t="n">
        <v>5</v>
      </c>
      <c r="G135" s="2" t="n">
        <v>5419</v>
      </c>
      <c r="H135" s="4" t="n">
        <f aca="false">F135*G135</f>
        <v>27095</v>
      </c>
      <c r="I135" s="2" t="str">
        <f aca="false">TEXT(B135,"mmm-yy")</f>
        <v>Dec-25</v>
      </c>
    </row>
    <row r="136" customFormat="false" ht="15" hidden="false" customHeight="false" outlineLevel="0" collapsed="false">
      <c r="A136" s="2" t="n">
        <v>1135</v>
      </c>
      <c r="B136" s="3" t="n">
        <v>46075</v>
      </c>
      <c r="C136" s="2" t="s">
        <v>19</v>
      </c>
      <c r="D136" s="2" t="s">
        <v>20</v>
      </c>
      <c r="E136" s="2" t="s">
        <v>16</v>
      </c>
      <c r="F136" s="2" t="n">
        <v>9</v>
      </c>
      <c r="G136" s="2" t="n">
        <v>9049</v>
      </c>
      <c r="H136" s="4" t="n">
        <f aca="false">F136*G136</f>
        <v>81441</v>
      </c>
      <c r="I136" s="2" t="str">
        <f aca="false">TEXT(B136,"mmm-yy")</f>
        <v>Feb-26</v>
      </c>
    </row>
    <row r="137" customFormat="false" ht="15" hidden="false" customHeight="false" outlineLevel="0" collapsed="false">
      <c r="A137" s="2" t="n">
        <v>1136</v>
      </c>
      <c r="B137" s="3" t="n">
        <v>45998</v>
      </c>
      <c r="C137" s="2" t="s">
        <v>9</v>
      </c>
      <c r="D137" s="2" t="s">
        <v>15</v>
      </c>
      <c r="E137" s="2" t="s">
        <v>16</v>
      </c>
      <c r="F137" s="2" t="n">
        <v>8</v>
      </c>
      <c r="G137" s="2" t="n">
        <v>5620</v>
      </c>
      <c r="H137" s="4" t="n">
        <f aca="false">F137*G137</f>
        <v>44960</v>
      </c>
      <c r="I137" s="2" t="str">
        <f aca="false">TEXT(B137,"mmm-yy")</f>
        <v>Dec-25</v>
      </c>
    </row>
    <row r="138" customFormat="false" ht="15" hidden="false" customHeight="false" outlineLevel="0" collapsed="false">
      <c r="A138" s="2" t="n">
        <v>1137</v>
      </c>
      <c r="B138" s="3" t="n">
        <v>46185</v>
      </c>
      <c r="C138" s="2" t="s">
        <v>12</v>
      </c>
      <c r="D138" s="2" t="s">
        <v>23</v>
      </c>
      <c r="E138" s="2" t="s">
        <v>18</v>
      </c>
      <c r="F138" s="2" t="n">
        <v>8</v>
      </c>
      <c r="G138" s="2" t="n">
        <v>2333</v>
      </c>
      <c r="H138" s="4" t="n">
        <f aca="false">F138*G138</f>
        <v>18664</v>
      </c>
      <c r="I138" s="2" t="str">
        <f aca="false">TEXT(B138,"mmm-yy")</f>
        <v>Jun-26</v>
      </c>
    </row>
    <row r="139" customFormat="false" ht="15" hidden="false" customHeight="false" outlineLevel="0" collapsed="false">
      <c r="A139" s="2" t="n">
        <v>1138</v>
      </c>
      <c r="B139" s="3" t="n">
        <v>46130</v>
      </c>
      <c r="C139" s="2" t="s">
        <v>9</v>
      </c>
      <c r="D139" s="2" t="s">
        <v>13</v>
      </c>
      <c r="E139" s="2" t="s">
        <v>11</v>
      </c>
      <c r="F139" s="2" t="n">
        <v>7</v>
      </c>
      <c r="G139" s="2" t="n">
        <v>1958</v>
      </c>
      <c r="H139" s="4" t="n">
        <f aca="false">F139*G139</f>
        <v>13706</v>
      </c>
      <c r="I139" s="2" t="str">
        <f aca="false">TEXT(B139,"mmm-yy")</f>
        <v>Apr-26</v>
      </c>
    </row>
    <row r="140" customFormat="false" ht="15" hidden="false" customHeight="false" outlineLevel="0" collapsed="false">
      <c r="A140" s="2" t="n">
        <v>1139</v>
      </c>
      <c r="B140" s="3" t="n">
        <v>46255</v>
      </c>
      <c r="C140" s="2" t="s">
        <v>12</v>
      </c>
      <c r="D140" s="2" t="s">
        <v>20</v>
      </c>
      <c r="E140" s="2" t="s">
        <v>16</v>
      </c>
      <c r="F140" s="2" t="n">
        <v>6</v>
      </c>
      <c r="G140" s="2" t="n">
        <v>9147</v>
      </c>
      <c r="H140" s="4" t="n">
        <f aca="false">F140*G140</f>
        <v>54882</v>
      </c>
      <c r="I140" s="2" t="str">
        <f aca="false">TEXT(B140,"mmm-yy")</f>
        <v>Aug-26</v>
      </c>
    </row>
    <row r="141" customFormat="false" ht="15" hidden="false" customHeight="false" outlineLevel="0" collapsed="false">
      <c r="A141" s="2" t="n">
        <v>1140</v>
      </c>
      <c r="B141" s="3" t="n">
        <v>46143</v>
      </c>
      <c r="C141" s="2" t="s">
        <v>19</v>
      </c>
      <c r="D141" s="2" t="s">
        <v>17</v>
      </c>
      <c r="E141" s="2" t="s">
        <v>18</v>
      </c>
      <c r="F141" s="2" t="n">
        <v>9</v>
      </c>
      <c r="G141" s="2" t="n">
        <v>471</v>
      </c>
      <c r="H141" s="4" t="n">
        <f aca="false">F141*G141</f>
        <v>4239</v>
      </c>
      <c r="I141" s="2" t="str">
        <f aca="false">TEXT(B141,"mmm-yy")</f>
        <v>May-26</v>
      </c>
    </row>
    <row r="142" customFormat="false" ht="15" hidden="false" customHeight="false" outlineLevel="0" collapsed="false">
      <c r="A142" s="2" t="n">
        <v>1141</v>
      </c>
      <c r="B142" s="3" t="n">
        <v>46070</v>
      </c>
      <c r="C142" s="2" t="s">
        <v>19</v>
      </c>
      <c r="D142" s="2" t="s">
        <v>23</v>
      </c>
      <c r="E142" s="2" t="s">
        <v>18</v>
      </c>
      <c r="F142" s="2" t="n">
        <v>5</v>
      </c>
      <c r="G142" s="2" t="n">
        <v>2246</v>
      </c>
      <c r="H142" s="4" t="n">
        <f aca="false">F142*G142</f>
        <v>11230</v>
      </c>
      <c r="I142" s="2" t="str">
        <f aca="false">TEXT(B142,"mmm-yy")</f>
        <v>Feb-26</v>
      </c>
    </row>
    <row r="143" customFormat="false" ht="15" hidden="false" customHeight="false" outlineLevel="0" collapsed="false">
      <c r="A143" s="2" t="n">
        <v>1142</v>
      </c>
      <c r="B143" s="3" t="n">
        <v>46019</v>
      </c>
      <c r="C143" s="2" t="s">
        <v>9</v>
      </c>
      <c r="D143" s="2" t="s">
        <v>15</v>
      </c>
      <c r="E143" s="2" t="s">
        <v>16</v>
      </c>
      <c r="F143" s="2" t="n">
        <v>12</v>
      </c>
      <c r="G143" s="2" t="n">
        <v>5398</v>
      </c>
      <c r="H143" s="4" t="n">
        <f aca="false">F143*G143</f>
        <v>64776</v>
      </c>
      <c r="I143" s="2" t="str">
        <f aca="false">TEXT(B143,"mmm-yy")</f>
        <v>Dec-25</v>
      </c>
    </row>
    <row r="144" customFormat="false" ht="15" hidden="false" customHeight="false" outlineLevel="0" collapsed="false">
      <c r="A144" s="2" t="n">
        <v>1143</v>
      </c>
      <c r="B144" s="3" t="n">
        <v>46175</v>
      </c>
      <c r="C144" s="2" t="s">
        <v>12</v>
      </c>
      <c r="D144" s="2" t="s">
        <v>15</v>
      </c>
      <c r="E144" s="2" t="s">
        <v>16</v>
      </c>
      <c r="F144" s="2" t="n">
        <v>8</v>
      </c>
      <c r="G144" s="2" t="n">
        <v>5343</v>
      </c>
      <c r="H144" s="4" t="n">
        <f aca="false">F144*G144</f>
        <v>42744</v>
      </c>
      <c r="I144" s="2" t="str">
        <f aca="false">TEXT(B144,"mmm-yy")</f>
        <v>Jun-26</v>
      </c>
    </row>
    <row r="145" customFormat="false" ht="15" hidden="false" customHeight="false" outlineLevel="0" collapsed="false">
      <c r="A145" s="2" t="n">
        <v>1144</v>
      </c>
      <c r="B145" s="3" t="n">
        <v>46042</v>
      </c>
      <c r="C145" s="2" t="s">
        <v>19</v>
      </c>
      <c r="D145" s="2" t="s">
        <v>13</v>
      </c>
      <c r="E145" s="2" t="s">
        <v>11</v>
      </c>
      <c r="F145" s="2" t="n">
        <v>5</v>
      </c>
      <c r="G145" s="2" t="n">
        <v>2065</v>
      </c>
      <c r="H145" s="4" t="n">
        <f aca="false">F145*G145</f>
        <v>10325</v>
      </c>
      <c r="I145" s="2" t="str">
        <f aca="false">TEXT(B145,"mmm-yy")</f>
        <v>Jan-26</v>
      </c>
    </row>
    <row r="146" customFormat="false" ht="15" hidden="false" customHeight="false" outlineLevel="0" collapsed="false">
      <c r="A146" s="2" t="n">
        <v>1145</v>
      </c>
      <c r="B146" s="3" t="n">
        <v>46017</v>
      </c>
      <c r="C146" s="2" t="s">
        <v>19</v>
      </c>
      <c r="D146" s="2" t="s">
        <v>22</v>
      </c>
      <c r="E146" s="2" t="s">
        <v>11</v>
      </c>
      <c r="F146" s="2" t="n">
        <v>12</v>
      </c>
      <c r="G146" s="2" t="n">
        <v>587</v>
      </c>
      <c r="H146" s="4" t="n">
        <f aca="false">F146*G146</f>
        <v>7044</v>
      </c>
      <c r="I146" s="2" t="str">
        <f aca="false">TEXT(B146,"mmm-yy")</f>
        <v>Dec-25</v>
      </c>
    </row>
    <row r="147" customFormat="false" ht="15" hidden="false" customHeight="false" outlineLevel="0" collapsed="false">
      <c r="A147" s="2" t="n">
        <v>1146</v>
      </c>
      <c r="B147" s="3" t="n">
        <v>46174</v>
      </c>
      <c r="C147" s="2" t="s">
        <v>12</v>
      </c>
      <c r="D147" s="2" t="s">
        <v>20</v>
      </c>
      <c r="E147" s="2" t="s">
        <v>16</v>
      </c>
      <c r="F147" s="2" t="n">
        <v>1</v>
      </c>
      <c r="G147" s="2" t="n">
        <v>8590</v>
      </c>
      <c r="H147" s="4" t="n">
        <f aca="false">F147*G147</f>
        <v>8590</v>
      </c>
      <c r="I147" s="2" t="str">
        <f aca="false">TEXT(B147,"mmm-yy")</f>
        <v>Jun-26</v>
      </c>
    </row>
    <row r="148" customFormat="false" ht="15" hidden="false" customHeight="false" outlineLevel="0" collapsed="false">
      <c r="A148" s="2" t="n">
        <v>1147</v>
      </c>
      <c r="B148" s="3" t="n">
        <v>46184</v>
      </c>
      <c r="C148" s="2" t="s">
        <v>19</v>
      </c>
      <c r="D148" s="2" t="s">
        <v>22</v>
      </c>
      <c r="E148" s="2" t="s">
        <v>11</v>
      </c>
      <c r="F148" s="2" t="n">
        <v>8</v>
      </c>
      <c r="G148" s="2" t="n">
        <v>607</v>
      </c>
      <c r="H148" s="4" t="n">
        <f aca="false">F148*G148</f>
        <v>4856</v>
      </c>
      <c r="I148" s="2" t="str">
        <f aca="false">TEXT(B148,"mmm-yy")</f>
        <v>Jun-26</v>
      </c>
    </row>
    <row r="149" customFormat="false" ht="15" hidden="false" customHeight="false" outlineLevel="0" collapsed="false">
      <c r="A149" s="2" t="n">
        <v>1148</v>
      </c>
      <c r="B149" s="3" t="n">
        <v>45953</v>
      </c>
      <c r="C149" s="2" t="s">
        <v>9</v>
      </c>
      <c r="D149" s="2" t="s">
        <v>20</v>
      </c>
      <c r="E149" s="2" t="s">
        <v>16</v>
      </c>
      <c r="F149" s="2" t="n">
        <v>8</v>
      </c>
      <c r="G149" s="2" t="n">
        <v>8971</v>
      </c>
      <c r="H149" s="4" t="n">
        <f aca="false">F149*G149</f>
        <v>71768</v>
      </c>
      <c r="I149" s="2" t="str">
        <f aca="false">TEXT(B149,"mmm-yy")</f>
        <v>Oct-25</v>
      </c>
    </row>
    <row r="150" customFormat="false" ht="15" hidden="false" customHeight="false" outlineLevel="0" collapsed="false">
      <c r="A150" s="2" t="n">
        <v>1149</v>
      </c>
      <c r="B150" s="3" t="n">
        <v>46075</v>
      </c>
      <c r="C150" s="2" t="s">
        <v>12</v>
      </c>
      <c r="D150" s="2" t="s">
        <v>10</v>
      </c>
      <c r="E150" s="2" t="s">
        <v>11</v>
      </c>
      <c r="F150" s="2" t="n">
        <v>8</v>
      </c>
      <c r="G150" s="2" t="n">
        <v>779</v>
      </c>
      <c r="H150" s="4" t="n">
        <f aca="false">F150*G150</f>
        <v>6232</v>
      </c>
      <c r="I150" s="2" t="str">
        <f aca="false">TEXT(B150,"mmm-yy")</f>
        <v>Feb-26</v>
      </c>
    </row>
    <row r="151" customFormat="false" ht="15" hidden="false" customHeight="false" outlineLevel="0" collapsed="false">
      <c r="A151" s="2" t="n">
        <v>1150</v>
      </c>
      <c r="B151" s="3" t="n">
        <v>45959</v>
      </c>
      <c r="C151" s="2" t="s">
        <v>9</v>
      </c>
      <c r="D151" s="2" t="s">
        <v>17</v>
      </c>
      <c r="E151" s="2" t="s">
        <v>18</v>
      </c>
      <c r="F151" s="2" t="n">
        <v>10</v>
      </c>
      <c r="G151" s="2" t="n">
        <v>449</v>
      </c>
      <c r="H151" s="4" t="n">
        <f aca="false">F151*G151</f>
        <v>4490</v>
      </c>
      <c r="I151" s="2" t="str">
        <f aca="false">TEXT(B151,"mmm-yy")</f>
        <v>Oct-25</v>
      </c>
    </row>
    <row r="152" customFormat="false" ht="15" hidden="false" customHeight="false" outlineLevel="0" collapsed="false">
      <c r="A152" s="2" t="n">
        <v>1151</v>
      </c>
      <c r="B152" s="3" t="n">
        <v>46223</v>
      </c>
      <c r="C152" s="2" t="s">
        <v>9</v>
      </c>
      <c r="D152" s="2" t="s">
        <v>22</v>
      </c>
      <c r="E152" s="2" t="s">
        <v>11</v>
      </c>
      <c r="F152" s="2" t="n">
        <v>10</v>
      </c>
      <c r="G152" s="2" t="n">
        <v>578</v>
      </c>
      <c r="H152" s="4" t="n">
        <f aca="false">F152*G152</f>
        <v>5780</v>
      </c>
      <c r="I152" s="2" t="str">
        <f aca="false">TEXT(B152,"mmm-yy")</f>
        <v>Jul-26</v>
      </c>
    </row>
    <row r="153" customFormat="false" ht="15" hidden="false" customHeight="false" outlineLevel="0" collapsed="false">
      <c r="A153" s="2" t="n">
        <v>1152</v>
      </c>
      <c r="B153" s="3" t="n">
        <v>46056</v>
      </c>
      <c r="C153" s="2" t="s">
        <v>9</v>
      </c>
      <c r="D153" s="2" t="s">
        <v>15</v>
      </c>
      <c r="E153" s="2" t="s">
        <v>16</v>
      </c>
      <c r="F153" s="2" t="n">
        <v>7</v>
      </c>
      <c r="G153" s="2" t="n">
        <v>5289</v>
      </c>
      <c r="H153" s="4" t="n">
        <f aca="false">F153*G153</f>
        <v>37023</v>
      </c>
      <c r="I153" s="2" t="str">
        <f aca="false">TEXT(B153,"mmm-yy")</f>
        <v>Feb-26</v>
      </c>
    </row>
    <row r="154" customFormat="false" ht="15" hidden="false" customHeight="false" outlineLevel="0" collapsed="false">
      <c r="A154" s="2" t="n">
        <v>1153</v>
      </c>
      <c r="B154" s="3" t="n">
        <v>46211</v>
      </c>
      <c r="C154" s="2" t="s">
        <v>12</v>
      </c>
      <c r="D154" s="2" t="s">
        <v>17</v>
      </c>
      <c r="E154" s="2" t="s">
        <v>18</v>
      </c>
      <c r="F154" s="2" t="n">
        <v>8</v>
      </c>
      <c r="G154" s="2" t="n">
        <v>447</v>
      </c>
      <c r="H154" s="4" t="n">
        <f aca="false">F154*G154</f>
        <v>3576</v>
      </c>
      <c r="I154" s="2" t="str">
        <f aca="false">TEXT(B154,"mmm-yy")</f>
        <v>Jul-26</v>
      </c>
    </row>
    <row r="155" customFormat="false" ht="15" hidden="false" customHeight="false" outlineLevel="0" collapsed="false">
      <c r="A155" s="2" t="n">
        <v>1154</v>
      </c>
      <c r="B155" s="3" t="n">
        <v>46053</v>
      </c>
      <c r="C155" s="2" t="s">
        <v>14</v>
      </c>
      <c r="D155" s="2" t="s">
        <v>20</v>
      </c>
      <c r="E155" s="2" t="s">
        <v>16</v>
      </c>
      <c r="F155" s="2" t="n">
        <v>1</v>
      </c>
      <c r="G155" s="2" t="n">
        <v>9061</v>
      </c>
      <c r="H155" s="4" t="n">
        <f aca="false">F155*G155</f>
        <v>9061</v>
      </c>
      <c r="I155" s="2" t="str">
        <f aca="false">TEXT(B155,"mmm-yy")</f>
        <v>Jan-26</v>
      </c>
    </row>
    <row r="156" customFormat="false" ht="15" hidden="false" customHeight="false" outlineLevel="0" collapsed="false">
      <c r="A156" s="2" t="n">
        <v>1155</v>
      </c>
      <c r="B156" s="3" t="n">
        <v>46213</v>
      </c>
      <c r="C156" s="2" t="s">
        <v>9</v>
      </c>
      <c r="D156" s="2" t="s">
        <v>15</v>
      </c>
      <c r="E156" s="2" t="s">
        <v>16</v>
      </c>
      <c r="F156" s="2" t="n">
        <v>5</v>
      </c>
      <c r="G156" s="2" t="n">
        <v>5568</v>
      </c>
      <c r="H156" s="4" t="n">
        <f aca="false">F156*G156</f>
        <v>27840</v>
      </c>
      <c r="I156" s="2" t="str">
        <f aca="false">TEXT(B156,"mmm-yy")</f>
        <v>Jul-26</v>
      </c>
    </row>
    <row r="157" customFormat="false" ht="15" hidden="false" customHeight="false" outlineLevel="0" collapsed="false">
      <c r="A157" s="2" t="n">
        <v>1156</v>
      </c>
      <c r="B157" s="3" t="n">
        <v>46239</v>
      </c>
      <c r="C157" s="2" t="s">
        <v>9</v>
      </c>
      <c r="D157" s="2" t="s">
        <v>22</v>
      </c>
      <c r="E157" s="2" t="s">
        <v>11</v>
      </c>
      <c r="F157" s="2" t="n">
        <v>9</v>
      </c>
      <c r="G157" s="2" t="n">
        <v>583</v>
      </c>
      <c r="H157" s="4" t="n">
        <f aca="false">F157*G157</f>
        <v>5247</v>
      </c>
      <c r="I157" s="2" t="str">
        <f aca="false">TEXT(B157,"mmm-yy")</f>
        <v>Aug-26</v>
      </c>
    </row>
    <row r="158" customFormat="false" ht="15" hidden="false" customHeight="false" outlineLevel="0" collapsed="false">
      <c r="A158" s="2" t="n">
        <v>1157</v>
      </c>
      <c r="B158" s="3" t="n">
        <v>45939</v>
      </c>
      <c r="C158" s="2" t="s">
        <v>12</v>
      </c>
      <c r="D158" s="2" t="s">
        <v>10</v>
      </c>
      <c r="E158" s="2" t="s">
        <v>11</v>
      </c>
      <c r="F158" s="2" t="n">
        <v>12</v>
      </c>
      <c r="G158" s="2" t="n">
        <v>792</v>
      </c>
      <c r="H158" s="4" t="n">
        <f aca="false">F158*G158</f>
        <v>9504</v>
      </c>
      <c r="I158" s="2" t="str">
        <f aca="false">TEXT(B158,"mmm-yy")</f>
        <v>Oct-25</v>
      </c>
    </row>
    <row r="159" customFormat="false" ht="15" hidden="false" customHeight="false" outlineLevel="0" collapsed="false">
      <c r="A159" s="2" t="n">
        <v>1158</v>
      </c>
      <c r="B159" s="3" t="n">
        <v>46205</v>
      </c>
      <c r="C159" s="2" t="s">
        <v>14</v>
      </c>
      <c r="D159" s="2" t="s">
        <v>20</v>
      </c>
      <c r="E159" s="2" t="s">
        <v>16</v>
      </c>
      <c r="F159" s="2" t="n">
        <v>5</v>
      </c>
      <c r="G159" s="2" t="n">
        <v>8578</v>
      </c>
      <c r="H159" s="4" t="n">
        <f aca="false">F159*G159</f>
        <v>42890</v>
      </c>
      <c r="I159" s="2" t="str">
        <f aca="false">TEXT(B159,"mmm-yy")</f>
        <v>Jul-26</v>
      </c>
    </row>
    <row r="160" customFormat="false" ht="15" hidden="false" customHeight="false" outlineLevel="0" collapsed="false">
      <c r="A160" s="2" t="n">
        <v>1159</v>
      </c>
      <c r="B160" s="3" t="n">
        <v>46262</v>
      </c>
      <c r="C160" s="2" t="s">
        <v>19</v>
      </c>
      <c r="D160" s="2" t="s">
        <v>23</v>
      </c>
      <c r="E160" s="2" t="s">
        <v>18</v>
      </c>
      <c r="F160" s="2" t="n">
        <v>4</v>
      </c>
      <c r="G160" s="2" t="n">
        <v>2200</v>
      </c>
      <c r="H160" s="4" t="n">
        <f aca="false">F160*G160</f>
        <v>8800</v>
      </c>
      <c r="I160" s="2" t="str">
        <f aca="false">TEXT(B160,"mmm-yy")</f>
        <v>Aug-26</v>
      </c>
    </row>
    <row r="161" customFormat="false" ht="15" hidden="false" customHeight="false" outlineLevel="0" collapsed="false">
      <c r="A161" s="2" t="n">
        <v>1160</v>
      </c>
      <c r="B161" s="3" t="n">
        <v>46036</v>
      </c>
      <c r="C161" s="2" t="s">
        <v>12</v>
      </c>
      <c r="D161" s="2" t="s">
        <v>17</v>
      </c>
      <c r="E161" s="2" t="s">
        <v>18</v>
      </c>
      <c r="F161" s="2" t="n">
        <v>4</v>
      </c>
      <c r="G161" s="2" t="n">
        <v>432</v>
      </c>
      <c r="H161" s="4" t="n">
        <f aca="false">F161*G161</f>
        <v>1728</v>
      </c>
      <c r="I161" s="2" t="str">
        <f aca="false">TEXT(B161,"mmm-yy")</f>
        <v>Jan-26</v>
      </c>
    </row>
    <row r="162" customFormat="false" ht="15" hidden="false" customHeight="false" outlineLevel="0" collapsed="false">
      <c r="A162" s="2" t="n">
        <v>1161</v>
      </c>
      <c r="B162" s="3" t="n">
        <v>46232</v>
      </c>
      <c r="C162" s="2" t="s">
        <v>12</v>
      </c>
      <c r="D162" s="2" t="s">
        <v>20</v>
      </c>
      <c r="E162" s="2" t="s">
        <v>16</v>
      </c>
      <c r="F162" s="2" t="n">
        <v>2</v>
      </c>
      <c r="G162" s="2" t="n">
        <v>9293</v>
      </c>
      <c r="H162" s="4" t="n">
        <f aca="false">F162*G162</f>
        <v>18586</v>
      </c>
      <c r="I162" s="2" t="str">
        <f aca="false">TEXT(B162,"mmm-yy")</f>
        <v>Jul-26</v>
      </c>
    </row>
    <row r="163" customFormat="false" ht="15" hidden="false" customHeight="false" outlineLevel="0" collapsed="false">
      <c r="A163" s="2" t="n">
        <v>1162</v>
      </c>
      <c r="B163" s="3" t="n">
        <v>45931</v>
      </c>
      <c r="C163" s="2" t="s">
        <v>12</v>
      </c>
      <c r="D163" s="2" t="s">
        <v>20</v>
      </c>
      <c r="E163" s="2" t="s">
        <v>16</v>
      </c>
      <c r="F163" s="2" t="n">
        <v>10</v>
      </c>
      <c r="G163" s="2" t="n">
        <v>9085</v>
      </c>
      <c r="H163" s="4" t="n">
        <f aca="false">F163*G163</f>
        <v>90850</v>
      </c>
      <c r="I163" s="2" t="str">
        <f aca="false">TEXT(B163,"mmm-yy")</f>
        <v>Oct-25</v>
      </c>
    </row>
    <row r="164" customFormat="false" ht="15" hidden="false" customHeight="false" outlineLevel="0" collapsed="false">
      <c r="A164" s="2" t="n">
        <v>1163</v>
      </c>
      <c r="B164" s="3" t="n">
        <v>46048</v>
      </c>
      <c r="C164" s="2" t="s">
        <v>14</v>
      </c>
      <c r="D164" s="2" t="s">
        <v>13</v>
      </c>
      <c r="E164" s="2" t="s">
        <v>11</v>
      </c>
      <c r="F164" s="2" t="n">
        <v>5</v>
      </c>
      <c r="G164" s="2" t="n">
        <v>1993</v>
      </c>
      <c r="H164" s="4" t="n">
        <f aca="false">F164*G164</f>
        <v>9965</v>
      </c>
      <c r="I164" s="2" t="str">
        <f aca="false">TEXT(B164,"mmm-yy")</f>
        <v>Jan-26</v>
      </c>
    </row>
    <row r="165" customFormat="false" ht="15" hidden="false" customHeight="false" outlineLevel="0" collapsed="false">
      <c r="A165" s="2" t="n">
        <v>1164</v>
      </c>
      <c r="B165" s="3" t="n">
        <v>46259</v>
      </c>
      <c r="C165" s="2" t="s">
        <v>14</v>
      </c>
      <c r="D165" s="2" t="s">
        <v>20</v>
      </c>
      <c r="E165" s="2" t="s">
        <v>16</v>
      </c>
      <c r="F165" s="2" t="n">
        <v>8</v>
      </c>
      <c r="G165" s="2" t="n">
        <v>8999</v>
      </c>
      <c r="H165" s="4" t="n">
        <f aca="false">F165*G165</f>
        <v>71992</v>
      </c>
      <c r="I165" s="2" t="str">
        <f aca="false">TEXT(B165,"mmm-yy")</f>
        <v>Aug-26</v>
      </c>
    </row>
    <row r="166" customFormat="false" ht="15" hidden="false" customHeight="false" outlineLevel="0" collapsed="false">
      <c r="A166" s="2" t="n">
        <v>1165</v>
      </c>
      <c r="B166" s="3" t="n">
        <v>46125</v>
      </c>
      <c r="C166" s="2" t="s">
        <v>9</v>
      </c>
      <c r="D166" s="2" t="s">
        <v>10</v>
      </c>
      <c r="E166" s="2" t="s">
        <v>11</v>
      </c>
      <c r="F166" s="2" t="n">
        <v>12</v>
      </c>
      <c r="G166" s="2" t="n">
        <v>830</v>
      </c>
      <c r="H166" s="4" t="n">
        <f aca="false">F166*G166</f>
        <v>9960</v>
      </c>
      <c r="I166" s="2" t="str">
        <f aca="false">TEXT(B166,"mmm-yy")</f>
        <v>Apr-26</v>
      </c>
    </row>
    <row r="167" customFormat="false" ht="15" hidden="false" customHeight="false" outlineLevel="0" collapsed="false">
      <c r="A167" s="2" t="n">
        <v>1166</v>
      </c>
      <c r="B167" s="3" t="n">
        <v>46066</v>
      </c>
      <c r="C167" s="2" t="s">
        <v>19</v>
      </c>
      <c r="D167" s="2" t="s">
        <v>10</v>
      </c>
      <c r="E167" s="2" t="s">
        <v>11</v>
      </c>
      <c r="F167" s="2" t="n">
        <v>11</v>
      </c>
      <c r="G167" s="2" t="n">
        <v>766</v>
      </c>
      <c r="H167" s="4" t="n">
        <f aca="false">F167*G167</f>
        <v>8426</v>
      </c>
      <c r="I167" s="2" t="str">
        <f aca="false">TEXT(B167,"mmm-yy")</f>
        <v>Feb-26</v>
      </c>
    </row>
    <row r="168" customFormat="false" ht="15" hidden="false" customHeight="false" outlineLevel="0" collapsed="false">
      <c r="A168" s="2" t="n">
        <v>1167</v>
      </c>
      <c r="B168" s="3" t="n">
        <v>46195</v>
      </c>
      <c r="C168" s="2" t="s">
        <v>9</v>
      </c>
      <c r="D168" s="2" t="s">
        <v>20</v>
      </c>
      <c r="E168" s="2" t="s">
        <v>16</v>
      </c>
      <c r="F168" s="2" t="n">
        <v>3</v>
      </c>
      <c r="G168" s="2" t="n">
        <v>9068</v>
      </c>
      <c r="H168" s="4" t="n">
        <f aca="false">F168*G168</f>
        <v>27204</v>
      </c>
      <c r="I168" s="2" t="str">
        <f aca="false">TEXT(B168,"mmm-yy")</f>
        <v>Jun-26</v>
      </c>
    </row>
    <row r="169" customFormat="false" ht="15" hidden="false" customHeight="false" outlineLevel="0" collapsed="false">
      <c r="A169" s="2" t="n">
        <v>1168</v>
      </c>
      <c r="B169" s="3" t="n">
        <v>46141</v>
      </c>
      <c r="C169" s="2" t="s">
        <v>14</v>
      </c>
      <c r="D169" s="2" t="s">
        <v>20</v>
      </c>
      <c r="E169" s="2" t="s">
        <v>16</v>
      </c>
      <c r="F169" s="2" t="n">
        <v>10</v>
      </c>
      <c r="G169" s="2" t="n">
        <v>8712</v>
      </c>
      <c r="H169" s="4" t="n">
        <f aca="false">F169*G169</f>
        <v>87120</v>
      </c>
      <c r="I169" s="2" t="str">
        <f aca="false">TEXT(B169,"mmm-yy")</f>
        <v>Apr-26</v>
      </c>
    </row>
    <row r="170" customFormat="false" ht="15" hidden="false" customHeight="false" outlineLevel="0" collapsed="false">
      <c r="A170" s="2" t="n">
        <v>1169</v>
      </c>
      <c r="B170" s="3" t="n">
        <v>46124</v>
      </c>
      <c r="C170" s="2" t="s">
        <v>14</v>
      </c>
      <c r="D170" s="2" t="s">
        <v>13</v>
      </c>
      <c r="E170" s="2" t="s">
        <v>11</v>
      </c>
      <c r="F170" s="2" t="n">
        <v>7</v>
      </c>
      <c r="G170" s="2" t="n">
        <v>1993</v>
      </c>
      <c r="H170" s="4" t="n">
        <f aca="false">F170*G170</f>
        <v>13951</v>
      </c>
      <c r="I170" s="2" t="str">
        <f aca="false">TEXT(B170,"mmm-yy")</f>
        <v>Apr-26</v>
      </c>
    </row>
    <row r="171" customFormat="false" ht="15" hidden="false" customHeight="false" outlineLevel="0" collapsed="false">
      <c r="A171" s="2" t="n">
        <v>1170</v>
      </c>
      <c r="B171" s="3" t="n">
        <v>46071</v>
      </c>
      <c r="C171" s="2" t="s">
        <v>19</v>
      </c>
      <c r="D171" s="2" t="s">
        <v>13</v>
      </c>
      <c r="E171" s="2" t="s">
        <v>11</v>
      </c>
      <c r="F171" s="2" t="n">
        <v>6</v>
      </c>
      <c r="G171" s="2" t="n">
        <v>2071</v>
      </c>
      <c r="H171" s="4" t="n">
        <f aca="false">F171*G171</f>
        <v>12426</v>
      </c>
      <c r="I171" s="2" t="str">
        <f aca="false">TEXT(B171,"mmm-yy")</f>
        <v>Feb-26</v>
      </c>
    </row>
    <row r="172" customFormat="false" ht="15" hidden="false" customHeight="false" outlineLevel="0" collapsed="false">
      <c r="A172" s="2" t="n">
        <v>1171</v>
      </c>
      <c r="B172" s="3" t="n">
        <v>46111</v>
      </c>
      <c r="C172" s="2" t="s">
        <v>14</v>
      </c>
      <c r="D172" s="2" t="s">
        <v>20</v>
      </c>
      <c r="E172" s="2" t="s">
        <v>16</v>
      </c>
      <c r="F172" s="2" t="n">
        <v>7</v>
      </c>
      <c r="G172" s="2" t="n">
        <v>9145</v>
      </c>
      <c r="H172" s="4" t="n">
        <f aca="false">F172*G172</f>
        <v>64015</v>
      </c>
      <c r="I172" s="2" t="str">
        <f aca="false">TEXT(B172,"mmm-yy")</f>
        <v>Mar-26</v>
      </c>
    </row>
    <row r="173" customFormat="false" ht="15" hidden="false" customHeight="false" outlineLevel="0" collapsed="false">
      <c r="A173" s="2" t="n">
        <v>1172</v>
      </c>
      <c r="B173" s="3" t="n">
        <v>46182</v>
      </c>
      <c r="C173" s="2" t="s">
        <v>9</v>
      </c>
      <c r="D173" s="2" t="s">
        <v>23</v>
      </c>
      <c r="E173" s="2" t="s">
        <v>18</v>
      </c>
      <c r="F173" s="2" t="n">
        <v>5</v>
      </c>
      <c r="G173" s="2" t="n">
        <v>2204</v>
      </c>
      <c r="H173" s="4" t="n">
        <f aca="false">F173*G173</f>
        <v>11020</v>
      </c>
      <c r="I173" s="2" t="str">
        <f aca="false">TEXT(B173,"mmm-yy")</f>
        <v>Jun-26</v>
      </c>
    </row>
    <row r="174" customFormat="false" ht="15" hidden="false" customHeight="false" outlineLevel="0" collapsed="false">
      <c r="A174" s="2" t="n">
        <v>1173</v>
      </c>
      <c r="B174" s="3" t="n">
        <v>46066</v>
      </c>
      <c r="C174" s="2" t="s">
        <v>9</v>
      </c>
      <c r="D174" s="2" t="s">
        <v>17</v>
      </c>
      <c r="E174" s="2" t="s">
        <v>18</v>
      </c>
      <c r="F174" s="2" t="n">
        <v>1</v>
      </c>
      <c r="G174" s="2" t="n">
        <v>465</v>
      </c>
      <c r="H174" s="4" t="n">
        <f aca="false">F174*G174</f>
        <v>465</v>
      </c>
      <c r="I174" s="2" t="str">
        <f aca="false">TEXT(B174,"mmm-yy")</f>
        <v>Feb-26</v>
      </c>
    </row>
    <row r="175" customFormat="false" ht="15" hidden="false" customHeight="false" outlineLevel="0" collapsed="false">
      <c r="A175" s="2" t="n">
        <v>1174</v>
      </c>
      <c r="B175" s="3" t="n">
        <v>46237</v>
      </c>
      <c r="C175" s="2" t="s">
        <v>14</v>
      </c>
      <c r="D175" s="2" t="s">
        <v>17</v>
      </c>
      <c r="E175" s="2" t="s">
        <v>18</v>
      </c>
      <c r="F175" s="2" t="n">
        <v>9</v>
      </c>
      <c r="G175" s="2" t="n">
        <v>429</v>
      </c>
      <c r="H175" s="4" t="n">
        <f aca="false">F175*G175</f>
        <v>3861</v>
      </c>
      <c r="I175" s="2" t="str">
        <f aca="false">TEXT(B175,"mmm-yy")</f>
        <v>Aug-26</v>
      </c>
    </row>
    <row r="176" customFormat="false" ht="15" hidden="false" customHeight="false" outlineLevel="0" collapsed="false">
      <c r="A176" s="2" t="n">
        <v>1175</v>
      </c>
      <c r="B176" s="3" t="n">
        <v>46086</v>
      </c>
      <c r="C176" s="2" t="s">
        <v>14</v>
      </c>
      <c r="D176" s="2" t="s">
        <v>23</v>
      </c>
      <c r="E176" s="2" t="s">
        <v>18</v>
      </c>
      <c r="F176" s="2" t="n">
        <v>4</v>
      </c>
      <c r="G176" s="2" t="n">
        <v>2359</v>
      </c>
      <c r="H176" s="4" t="n">
        <f aca="false">F176*G176</f>
        <v>9436</v>
      </c>
      <c r="I176" s="2" t="str">
        <f aca="false">TEXT(B176,"mmm-yy")</f>
        <v>Mar-26</v>
      </c>
    </row>
    <row r="177" customFormat="false" ht="15" hidden="false" customHeight="false" outlineLevel="0" collapsed="false">
      <c r="A177" s="2" t="n">
        <v>1176</v>
      </c>
      <c r="B177" s="3" t="n">
        <v>46037</v>
      </c>
      <c r="C177" s="2" t="s">
        <v>12</v>
      </c>
      <c r="D177" s="2" t="s">
        <v>20</v>
      </c>
      <c r="E177" s="2" t="s">
        <v>16</v>
      </c>
      <c r="F177" s="2" t="n">
        <v>12</v>
      </c>
      <c r="G177" s="2" t="n">
        <v>8943</v>
      </c>
      <c r="H177" s="4" t="n">
        <f aca="false">F177*G177</f>
        <v>107316</v>
      </c>
      <c r="I177" s="2" t="str">
        <f aca="false">TEXT(B177,"mmm-yy")</f>
        <v>Jan-26</v>
      </c>
    </row>
    <row r="178" customFormat="false" ht="15" hidden="false" customHeight="false" outlineLevel="0" collapsed="false">
      <c r="A178" s="2" t="n">
        <v>1177</v>
      </c>
      <c r="B178" s="3" t="n">
        <v>46149</v>
      </c>
      <c r="C178" s="2" t="s">
        <v>9</v>
      </c>
      <c r="D178" s="2" t="s">
        <v>10</v>
      </c>
      <c r="E178" s="2" t="s">
        <v>11</v>
      </c>
      <c r="F178" s="2" t="n">
        <v>10</v>
      </c>
      <c r="G178" s="2" t="n">
        <v>837</v>
      </c>
      <c r="H178" s="4" t="n">
        <f aca="false">F178*G178</f>
        <v>8370</v>
      </c>
      <c r="I178" s="2" t="str">
        <f aca="false">TEXT(B178,"mmm-yy")</f>
        <v>May-26</v>
      </c>
    </row>
    <row r="179" customFormat="false" ht="15" hidden="false" customHeight="false" outlineLevel="0" collapsed="false">
      <c r="A179" s="2" t="n">
        <v>1178</v>
      </c>
      <c r="B179" s="3" t="n">
        <v>46023</v>
      </c>
      <c r="C179" s="2" t="s">
        <v>12</v>
      </c>
      <c r="D179" s="2" t="s">
        <v>20</v>
      </c>
      <c r="E179" s="2" t="s">
        <v>16</v>
      </c>
      <c r="F179" s="2" t="n">
        <v>9</v>
      </c>
      <c r="G179" s="2" t="n">
        <v>9045</v>
      </c>
      <c r="H179" s="4" t="n">
        <f aca="false">F179*G179</f>
        <v>81405</v>
      </c>
      <c r="I179" s="2" t="str">
        <f aca="false">TEXT(B179,"mmm-yy")</f>
        <v>Jan-26</v>
      </c>
    </row>
    <row r="180" customFormat="false" ht="15" hidden="false" customHeight="false" outlineLevel="0" collapsed="false">
      <c r="A180" s="2" t="n">
        <v>1179</v>
      </c>
      <c r="B180" s="3" t="n">
        <v>46109</v>
      </c>
      <c r="C180" s="2" t="s">
        <v>9</v>
      </c>
      <c r="D180" s="2" t="s">
        <v>15</v>
      </c>
      <c r="E180" s="2" t="s">
        <v>16</v>
      </c>
      <c r="F180" s="2" t="n">
        <v>2</v>
      </c>
      <c r="G180" s="2" t="n">
        <v>5770</v>
      </c>
      <c r="H180" s="4" t="n">
        <f aca="false">F180*G180</f>
        <v>11540</v>
      </c>
      <c r="I180" s="2" t="str">
        <f aca="false">TEXT(B180,"mmm-yy")</f>
        <v>Mar-26</v>
      </c>
    </row>
    <row r="181" customFormat="false" ht="15" hidden="false" customHeight="false" outlineLevel="0" collapsed="false">
      <c r="A181" s="2" t="n">
        <v>1180</v>
      </c>
      <c r="B181" s="3" t="n">
        <v>46137</v>
      </c>
      <c r="C181" s="2" t="s">
        <v>9</v>
      </c>
      <c r="D181" s="2" t="s">
        <v>22</v>
      </c>
      <c r="E181" s="2" t="s">
        <v>11</v>
      </c>
      <c r="F181" s="2" t="n">
        <v>12</v>
      </c>
      <c r="G181" s="2" t="n">
        <v>599</v>
      </c>
      <c r="H181" s="4" t="n">
        <f aca="false">F181*G181</f>
        <v>7188</v>
      </c>
      <c r="I181" s="2" t="str">
        <f aca="false">TEXT(B181,"mmm-yy")</f>
        <v>Apr-26</v>
      </c>
    </row>
    <row r="182" customFormat="false" ht="15" hidden="false" customHeight="false" outlineLevel="0" collapsed="false">
      <c r="A182" s="2" t="n">
        <v>1181</v>
      </c>
      <c r="B182" s="3" t="n">
        <v>46050</v>
      </c>
      <c r="C182" s="2" t="s">
        <v>19</v>
      </c>
      <c r="D182" s="2" t="s">
        <v>17</v>
      </c>
      <c r="E182" s="2" t="s">
        <v>18</v>
      </c>
      <c r="F182" s="2" t="n">
        <v>8</v>
      </c>
      <c r="G182" s="2" t="n">
        <v>464</v>
      </c>
      <c r="H182" s="4" t="n">
        <f aca="false">F182*G182</f>
        <v>3712</v>
      </c>
      <c r="I182" s="2" t="str">
        <f aca="false">TEXT(B182,"mmm-yy")</f>
        <v>Jan-26</v>
      </c>
    </row>
    <row r="183" customFormat="false" ht="15" hidden="false" customHeight="false" outlineLevel="0" collapsed="false">
      <c r="A183" s="2" t="n">
        <v>1182</v>
      </c>
      <c r="B183" s="3" t="n">
        <v>46025</v>
      </c>
      <c r="C183" s="2" t="s">
        <v>14</v>
      </c>
      <c r="D183" s="2" t="s">
        <v>22</v>
      </c>
      <c r="E183" s="2" t="s">
        <v>11</v>
      </c>
      <c r="F183" s="2" t="n">
        <v>10</v>
      </c>
      <c r="G183" s="2" t="n">
        <v>592</v>
      </c>
      <c r="H183" s="4" t="n">
        <f aca="false">F183*G183</f>
        <v>5920</v>
      </c>
      <c r="I183" s="2" t="str">
        <f aca="false">TEXT(B183,"mmm-yy")</f>
        <v>Jan-26</v>
      </c>
    </row>
    <row r="184" customFormat="false" ht="15" hidden="false" customHeight="false" outlineLevel="0" collapsed="false">
      <c r="A184" s="2" t="n">
        <v>1183</v>
      </c>
      <c r="B184" s="3" t="n">
        <v>46161</v>
      </c>
      <c r="C184" s="2" t="s">
        <v>12</v>
      </c>
      <c r="D184" s="2" t="s">
        <v>13</v>
      </c>
      <c r="E184" s="2" t="s">
        <v>11</v>
      </c>
      <c r="F184" s="2" t="n">
        <v>7</v>
      </c>
      <c r="G184" s="2" t="n">
        <v>1954</v>
      </c>
      <c r="H184" s="4" t="n">
        <f aca="false">F184*G184</f>
        <v>13678</v>
      </c>
      <c r="I184" s="2" t="str">
        <f aca="false">TEXT(B184,"mmm-yy")</f>
        <v>May-26</v>
      </c>
    </row>
    <row r="185" customFormat="false" ht="15" hidden="false" customHeight="false" outlineLevel="0" collapsed="false">
      <c r="A185" s="2" t="n">
        <v>1184</v>
      </c>
      <c r="B185" s="3" t="n">
        <v>46075</v>
      </c>
      <c r="C185" s="2" t="s">
        <v>19</v>
      </c>
      <c r="D185" s="2" t="s">
        <v>10</v>
      </c>
      <c r="E185" s="2" t="s">
        <v>11</v>
      </c>
      <c r="F185" s="2" t="n">
        <v>5</v>
      </c>
      <c r="G185" s="2" t="n">
        <v>782</v>
      </c>
      <c r="H185" s="4" t="n">
        <f aca="false">F185*G185</f>
        <v>3910</v>
      </c>
      <c r="I185" s="2" t="str">
        <f aca="false">TEXT(B185,"mmm-yy")</f>
        <v>Feb-26</v>
      </c>
    </row>
    <row r="186" customFormat="false" ht="15" hidden="false" customHeight="false" outlineLevel="0" collapsed="false">
      <c r="A186" s="2" t="n">
        <v>1185</v>
      </c>
      <c r="B186" s="3" t="n">
        <v>46201</v>
      </c>
      <c r="C186" s="2" t="s">
        <v>14</v>
      </c>
      <c r="D186" s="2" t="s">
        <v>22</v>
      </c>
      <c r="E186" s="2" t="s">
        <v>11</v>
      </c>
      <c r="F186" s="2" t="n">
        <v>8</v>
      </c>
      <c r="G186" s="2" t="n">
        <v>596</v>
      </c>
      <c r="H186" s="4" t="n">
        <f aca="false">F186*G186</f>
        <v>4768</v>
      </c>
      <c r="I186" s="2" t="str">
        <f aca="false">TEXT(B186,"mmm-yy")</f>
        <v>Jun-26</v>
      </c>
    </row>
    <row r="187" customFormat="false" ht="15" hidden="false" customHeight="false" outlineLevel="0" collapsed="false">
      <c r="A187" s="2" t="n">
        <v>1186</v>
      </c>
      <c r="B187" s="3" t="n">
        <v>46077</v>
      </c>
      <c r="C187" s="2" t="s">
        <v>19</v>
      </c>
      <c r="D187" s="2" t="s">
        <v>17</v>
      </c>
      <c r="E187" s="2" t="s">
        <v>18</v>
      </c>
      <c r="F187" s="2" t="n">
        <v>6</v>
      </c>
      <c r="G187" s="2" t="n">
        <v>447</v>
      </c>
      <c r="H187" s="4" t="n">
        <f aca="false">F187*G187</f>
        <v>2682</v>
      </c>
      <c r="I187" s="2" t="str">
        <f aca="false">TEXT(B187,"mmm-yy")</f>
        <v>Feb-26</v>
      </c>
    </row>
    <row r="188" customFormat="false" ht="15" hidden="false" customHeight="false" outlineLevel="0" collapsed="false">
      <c r="A188" s="2" t="n">
        <v>1187</v>
      </c>
      <c r="B188" s="3" t="n">
        <v>45997</v>
      </c>
      <c r="C188" s="2" t="s">
        <v>12</v>
      </c>
      <c r="D188" s="2" t="s">
        <v>17</v>
      </c>
      <c r="E188" s="2" t="s">
        <v>18</v>
      </c>
      <c r="F188" s="2" t="n">
        <v>7</v>
      </c>
      <c r="G188" s="2" t="n">
        <v>437</v>
      </c>
      <c r="H188" s="4" t="n">
        <f aca="false">F188*G188</f>
        <v>3059</v>
      </c>
      <c r="I188" s="2" t="str">
        <f aca="false">TEXT(B188,"mmm-yy")</f>
        <v>Dec-25</v>
      </c>
    </row>
    <row r="189" customFormat="false" ht="15" hidden="false" customHeight="false" outlineLevel="0" collapsed="false">
      <c r="A189" s="2" t="n">
        <v>1188</v>
      </c>
      <c r="B189" s="3" t="n">
        <v>45923</v>
      </c>
      <c r="C189" s="2" t="s">
        <v>19</v>
      </c>
      <c r="D189" s="2" t="s">
        <v>23</v>
      </c>
      <c r="E189" s="2" t="s">
        <v>18</v>
      </c>
      <c r="F189" s="2" t="n">
        <v>7</v>
      </c>
      <c r="G189" s="2" t="n">
        <v>2346</v>
      </c>
      <c r="H189" s="4" t="n">
        <f aca="false">F189*G189</f>
        <v>16422</v>
      </c>
      <c r="I189" s="2" t="str">
        <f aca="false">TEXT(B189,"mmm-yy")</f>
        <v>Sep-25</v>
      </c>
    </row>
    <row r="190" customFormat="false" ht="15" hidden="false" customHeight="false" outlineLevel="0" collapsed="false">
      <c r="A190" s="2" t="n">
        <v>1189</v>
      </c>
      <c r="B190" s="3" t="n">
        <v>46098</v>
      </c>
      <c r="C190" s="2" t="s">
        <v>12</v>
      </c>
      <c r="D190" s="2" t="s">
        <v>23</v>
      </c>
      <c r="E190" s="2" t="s">
        <v>18</v>
      </c>
      <c r="F190" s="2" t="n">
        <v>3</v>
      </c>
      <c r="G190" s="2" t="n">
        <v>2406</v>
      </c>
      <c r="H190" s="4" t="n">
        <f aca="false">F190*G190</f>
        <v>7218</v>
      </c>
      <c r="I190" s="2" t="str">
        <f aca="false">TEXT(B190,"mmm-yy")</f>
        <v>Mar-26</v>
      </c>
    </row>
    <row r="191" customFormat="false" ht="15" hidden="false" customHeight="false" outlineLevel="0" collapsed="false">
      <c r="A191" s="2" t="n">
        <v>1190</v>
      </c>
      <c r="B191" s="3" t="n">
        <v>46158</v>
      </c>
      <c r="C191" s="2" t="s">
        <v>19</v>
      </c>
      <c r="D191" s="2" t="s">
        <v>13</v>
      </c>
      <c r="E191" s="2" t="s">
        <v>11</v>
      </c>
      <c r="F191" s="2" t="n">
        <v>8</v>
      </c>
      <c r="G191" s="2" t="n">
        <v>2074</v>
      </c>
      <c r="H191" s="4" t="n">
        <f aca="false">F191*G191</f>
        <v>16592</v>
      </c>
      <c r="I191" s="2" t="str">
        <f aca="false">TEXT(B191,"mmm-yy")</f>
        <v>May-26</v>
      </c>
    </row>
    <row r="192" customFormat="false" ht="15" hidden="false" customHeight="false" outlineLevel="0" collapsed="false">
      <c r="A192" s="2" t="n">
        <v>1191</v>
      </c>
      <c r="B192" s="3" t="n">
        <v>45952</v>
      </c>
      <c r="C192" s="2" t="s">
        <v>14</v>
      </c>
      <c r="D192" s="2" t="s">
        <v>10</v>
      </c>
      <c r="E192" s="2" t="s">
        <v>11</v>
      </c>
      <c r="F192" s="2" t="n">
        <v>7</v>
      </c>
      <c r="G192" s="2" t="n">
        <v>817</v>
      </c>
      <c r="H192" s="4" t="n">
        <f aca="false">F192*G192</f>
        <v>5719</v>
      </c>
      <c r="I192" s="2" t="str">
        <f aca="false">TEXT(B192,"mmm-yy")</f>
        <v>Oct-25</v>
      </c>
    </row>
    <row r="193" customFormat="false" ht="15" hidden="false" customHeight="false" outlineLevel="0" collapsed="false">
      <c r="A193" s="2" t="n">
        <v>1192</v>
      </c>
      <c r="B193" s="3" t="n">
        <v>46236</v>
      </c>
      <c r="C193" s="2" t="s">
        <v>12</v>
      </c>
      <c r="D193" s="2" t="s">
        <v>13</v>
      </c>
      <c r="E193" s="2" t="s">
        <v>11</v>
      </c>
      <c r="F193" s="2" t="n">
        <v>5</v>
      </c>
      <c r="G193" s="2" t="n">
        <v>1993</v>
      </c>
      <c r="H193" s="4" t="n">
        <f aca="false">F193*G193</f>
        <v>9965</v>
      </c>
      <c r="I193" s="2" t="str">
        <f aca="false">TEXT(B193,"mmm-yy")</f>
        <v>Aug-26</v>
      </c>
    </row>
    <row r="194" customFormat="false" ht="15" hidden="false" customHeight="false" outlineLevel="0" collapsed="false">
      <c r="A194" s="2" t="n">
        <v>1193</v>
      </c>
      <c r="B194" s="3" t="n">
        <v>46074</v>
      </c>
      <c r="C194" s="2" t="s">
        <v>14</v>
      </c>
      <c r="D194" s="2" t="s">
        <v>13</v>
      </c>
      <c r="E194" s="2" t="s">
        <v>11</v>
      </c>
      <c r="F194" s="2" t="n">
        <v>11</v>
      </c>
      <c r="G194" s="2" t="n">
        <v>2069</v>
      </c>
      <c r="H194" s="4" t="n">
        <f aca="false">F194*G194</f>
        <v>22759</v>
      </c>
      <c r="I194" s="2" t="str">
        <f aca="false">TEXT(B194,"mmm-yy")</f>
        <v>Feb-26</v>
      </c>
    </row>
    <row r="195" customFormat="false" ht="15" hidden="false" customHeight="false" outlineLevel="0" collapsed="false">
      <c r="A195" s="2" t="n">
        <v>1194</v>
      </c>
      <c r="B195" s="3" t="n">
        <v>46174</v>
      </c>
      <c r="C195" s="2" t="s">
        <v>14</v>
      </c>
      <c r="D195" s="2" t="s">
        <v>21</v>
      </c>
      <c r="E195" s="2" t="s">
        <v>16</v>
      </c>
      <c r="F195" s="2" t="n">
        <v>8</v>
      </c>
      <c r="G195" s="2" t="n">
        <v>3341</v>
      </c>
      <c r="H195" s="4" t="n">
        <f aca="false">F195*G195</f>
        <v>26728</v>
      </c>
      <c r="I195" s="2" t="str">
        <f aca="false">TEXT(B195,"mmm-yy")</f>
        <v>Jun-26</v>
      </c>
    </row>
    <row r="196" customFormat="false" ht="15" hidden="false" customHeight="false" outlineLevel="0" collapsed="false">
      <c r="A196" s="2" t="n">
        <v>1195</v>
      </c>
      <c r="B196" s="3" t="n">
        <v>46178</v>
      </c>
      <c r="C196" s="2" t="s">
        <v>9</v>
      </c>
      <c r="D196" s="2" t="s">
        <v>13</v>
      </c>
      <c r="E196" s="2" t="s">
        <v>11</v>
      </c>
      <c r="F196" s="2" t="n">
        <v>11</v>
      </c>
      <c r="G196" s="2" t="n">
        <v>1946</v>
      </c>
      <c r="H196" s="4" t="n">
        <f aca="false">F196*G196</f>
        <v>21406</v>
      </c>
      <c r="I196" s="2" t="str">
        <f aca="false">TEXT(B196,"mmm-yy")</f>
        <v>Jun-26</v>
      </c>
    </row>
    <row r="197" customFormat="false" ht="15" hidden="false" customHeight="false" outlineLevel="0" collapsed="false">
      <c r="A197" s="2" t="n">
        <v>1196</v>
      </c>
      <c r="B197" s="3" t="n">
        <v>46048</v>
      </c>
      <c r="C197" s="2" t="s">
        <v>12</v>
      </c>
      <c r="D197" s="2" t="s">
        <v>13</v>
      </c>
      <c r="E197" s="2" t="s">
        <v>11</v>
      </c>
      <c r="F197" s="2" t="n">
        <v>2</v>
      </c>
      <c r="G197" s="2" t="n">
        <v>1986</v>
      </c>
      <c r="H197" s="4" t="n">
        <f aca="false">F197*G197</f>
        <v>3972</v>
      </c>
      <c r="I197" s="2" t="str">
        <f aca="false">TEXT(B197,"mmm-yy")</f>
        <v>Jan-26</v>
      </c>
    </row>
    <row r="198" customFormat="false" ht="15" hidden="false" customHeight="false" outlineLevel="0" collapsed="false">
      <c r="A198" s="2" t="n">
        <v>1197</v>
      </c>
      <c r="B198" s="3" t="n">
        <v>46225</v>
      </c>
      <c r="C198" s="2" t="s">
        <v>9</v>
      </c>
      <c r="D198" s="2" t="s">
        <v>23</v>
      </c>
      <c r="E198" s="2" t="s">
        <v>18</v>
      </c>
      <c r="F198" s="2" t="n">
        <v>5</v>
      </c>
      <c r="G198" s="2" t="n">
        <v>2222</v>
      </c>
      <c r="H198" s="4" t="n">
        <f aca="false">F198*G198</f>
        <v>11110</v>
      </c>
      <c r="I198" s="2" t="str">
        <f aca="false">TEXT(B198,"mmm-yy")</f>
        <v>Jul-26</v>
      </c>
    </row>
    <row r="199" customFormat="false" ht="15" hidden="false" customHeight="false" outlineLevel="0" collapsed="false">
      <c r="A199" s="2" t="n">
        <v>1198</v>
      </c>
      <c r="B199" s="3" t="n">
        <v>45915</v>
      </c>
      <c r="C199" s="2" t="s">
        <v>9</v>
      </c>
      <c r="D199" s="2" t="s">
        <v>21</v>
      </c>
      <c r="E199" s="2" t="s">
        <v>16</v>
      </c>
      <c r="F199" s="2" t="n">
        <v>5</v>
      </c>
      <c r="G199" s="2" t="n">
        <v>3397</v>
      </c>
      <c r="H199" s="4" t="n">
        <f aca="false">F199*G199</f>
        <v>16985</v>
      </c>
      <c r="I199" s="2" t="str">
        <f aca="false">TEXT(B199,"mmm-yy")</f>
        <v>Sep-25</v>
      </c>
    </row>
    <row r="200" customFormat="false" ht="15" hidden="false" customHeight="false" outlineLevel="0" collapsed="false">
      <c r="A200" s="2" t="n">
        <v>1199</v>
      </c>
      <c r="B200" s="3" t="n">
        <v>46084</v>
      </c>
      <c r="C200" s="2" t="s">
        <v>19</v>
      </c>
      <c r="D200" s="2" t="s">
        <v>17</v>
      </c>
      <c r="E200" s="2" t="s">
        <v>18</v>
      </c>
      <c r="F200" s="2" t="n">
        <v>9</v>
      </c>
      <c r="G200" s="2" t="n">
        <v>433</v>
      </c>
      <c r="H200" s="4" t="n">
        <f aca="false">F200*G200</f>
        <v>3897</v>
      </c>
      <c r="I200" s="2" t="str">
        <f aca="false">TEXT(B200,"mmm-yy")</f>
        <v>Mar-26</v>
      </c>
    </row>
    <row r="201" customFormat="false" ht="15" hidden="false" customHeight="false" outlineLevel="0" collapsed="false">
      <c r="A201" s="2" t="n">
        <v>1200</v>
      </c>
      <c r="B201" s="3" t="n">
        <v>46111</v>
      </c>
      <c r="C201" s="2" t="s">
        <v>12</v>
      </c>
      <c r="D201" s="2" t="s">
        <v>22</v>
      </c>
      <c r="E201" s="2" t="s">
        <v>11</v>
      </c>
      <c r="F201" s="2" t="n">
        <v>10</v>
      </c>
      <c r="G201" s="2" t="n">
        <v>580</v>
      </c>
      <c r="H201" s="4" t="n">
        <f aca="false">F201*G201</f>
        <v>5800</v>
      </c>
      <c r="I201" s="2" t="str">
        <f aca="false">TEXT(B201,"mmm-yy")</f>
        <v>Mar-26</v>
      </c>
    </row>
    <row r="202" customFormat="false" ht="15" hidden="false" customHeight="false" outlineLevel="0" collapsed="false">
      <c r="A202" s="2" t="n">
        <v>1201</v>
      </c>
      <c r="B202" s="3" t="n">
        <v>46096</v>
      </c>
      <c r="C202" s="2" t="s">
        <v>12</v>
      </c>
      <c r="D202" s="2" t="s">
        <v>23</v>
      </c>
      <c r="E202" s="2" t="s">
        <v>18</v>
      </c>
      <c r="F202" s="2" t="n">
        <v>3</v>
      </c>
      <c r="G202" s="2" t="n">
        <v>2394</v>
      </c>
      <c r="H202" s="4" t="n">
        <f aca="false">F202*G202</f>
        <v>7182</v>
      </c>
      <c r="I202" s="2" t="str">
        <f aca="false">TEXT(B202,"mmm-yy")</f>
        <v>Mar-26</v>
      </c>
    </row>
    <row r="203" customFormat="false" ht="15" hidden="false" customHeight="false" outlineLevel="0" collapsed="false">
      <c r="A203" s="2" t="n">
        <v>1202</v>
      </c>
      <c r="B203" s="3" t="n">
        <v>46019</v>
      </c>
      <c r="C203" s="2" t="s">
        <v>14</v>
      </c>
      <c r="D203" s="2" t="s">
        <v>20</v>
      </c>
      <c r="E203" s="2" t="s">
        <v>16</v>
      </c>
      <c r="F203" s="2" t="n">
        <v>11</v>
      </c>
      <c r="G203" s="2" t="n">
        <v>8963</v>
      </c>
      <c r="H203" s="4" t="n">
        <f aca="false">F203*G203</f>
        <v>98593</v>
      </c>
      <c r="I203" s="2" t="str">
        <f aca="false">TEXT(B203,"mmm-yy")</f>
        <v>Dec-25</v>
      </c>
    </row>
    <row r="204" customFormat="false" ht="15" hidden="false" customHeight="false" outlineLevel="0" collapsed="false">
      <c r="A204" s="2" t="n">
        <v>1203</v>
      </c>
      <c r="B204" s="3" t="n">
        <v>45905</v>
      </c>
      <c r="C204" s="2" t="s">
        <v>14</v>
      </c>
      <c r="D204" s="2" t="s">
        <v>20</v>
      </c>
      <c r="E204" s="2" t="s">
        <v>16</v>
      </c>
      <c r="F204" s="2" t="n">
        <v>3</v>
      </c>
      <c r="G204" s="2" t="n">
        <v>9159</v>
      </c>
      <c r="H204" s="4" t="n">
        <f aca="false">F204*G204</f>
        <v>27477</v>
      </c>
      <c r="I204" s="2" t="str">
        <f aca="false">TEXT(B204,"mmm-yy")</f>
        <v>Sep-25</v>
      </c>
    </row>
    <row r="205" customFormat="false" ht="15" hidden="false" customHeight="false" outlineLevel="0" collapsed="false">
      <c r="A205" s="2" t="n">
        <v>1204</v>
      </c>
      <c r="B205" s="3" t="n">
        <v>45938</v>
      </c>
      <c r="C205" s="2" t="s">
        <v>14</v>
      </c>
      <c r="D205" s="2" t="s">
        <v>21</v>
      </c>
      <c r="E205" s="2" t="s">
        <v>16</v>
      </c>
      <c r="F205" s="2" t="n">
        <v>5</v>
      </c>
      <c r="G205" s="2" t="n">
        <v>3460</v>
      </c>
      <c r="H205" s="4" t="n">
        <f aca="false">F205*G205</f>
        <v>17300</v>
      </c>
      <c r="I205" s="2" t="str">
        <f aca="false">TEXT(B205,"mmm-yy")</f>
        <v>Oct-25</v>
      </c>
    </row>
    <row r="206" customFormat="false" ht="15" hidden="false" customHeight="false" outlineLevel="0" collapsed="false">
      <c r="A206" s="2" t="n">
        <v>1205</v>
      </c>
      <c r="B206" s="3" t="n">
        <v>46228</v>
      </c>
      <c r="C206" s="2" t="s">
        <v>14</v>
      </c>
      <c r="D206" s="2" t="s">
        <v>20</v>
      </c>
      <c r="E206" s="2" t="s">
        <v>16</v>
      </c>
      <c r="F206" s="2" t="n">
        <v>5</v>
      </c>
      <c r="G206" s="2" t="n">
        <v>8960</v>
      </c>
      <c r="H206" s="4" t="n">
        <f aca="false">F206*G206</f>
        <v>44800</v>
      </c>
      <c r="I206" s="2" t="str">
        <f aca="false">TEXT(B206,"mmm-yy")</f>
        <v>Jul-26</v>
      </c>
    </row>
    <row r="207" customFormat="false" ht="15" hidden="false" customHeight="false" outlineLevel="0" collapsed="false">
      <c r="A207" s="2" t="n">
        <v>1206</v>
      </c>
      <c r="B207" s="3" t="n">
        <v>46002</v>
      </c>
      <c r="C207" s="2" t="s">
        <v>14</v>
      </c>
      <c r="D207" s="2" t="s">
        <v>23</v>
      </c>
      <c r="E207" s="2" t="s">
        <v>18</v>
      </c>
      <c r="F207" s="2" t="n">
        <v>7</v>
      </c>
      <c r="G207" s="2" t="n">
        <v>2209</v>
      </c>
      <c r="H207" s="4" t="n">
        <f aca="false">F207*G207</f>
        <v>15463</v>
      </c>
      <c r="I207" s="2" t="str">
        <f aca="false">TEXT(B207,"mmm-yy")</f>
        <v>Dec-25</v>
      </c>
    </row>
    <row r="208" customFormat="false" ht="15" hidden="false" customHeight="false" outlineLevel="0" collapsed="false">
      <c r="A208" s="2" t="n">
        <v>1207</v>
      </c>
      <c r="B208" s="3" t="n">
        <v>46193</v>
      </c>
      <c r="C208" s="2" t="s">
        <v>19</v>
      </c>
      <c r="D208" s="2" t="s">
        <v>20</v>
      </c>
      <c r="E208" s="2" t="s">
        <v>16</v>
      </c>
      <c r="F208" s="2" t="n">
        <v>5</v>
      </c>
      <c r="G208" s="2" t="n">
        <v>9442</v>
      </c>
      <c r="H208" s="4" t="n">
        <f aca="false">F208*G208</f>
        <v>47210</v>
      </c>
      <c r="I208" s="2" t="str">
        <f aca="false">TEXT(B208,"mmm-yy")</f>
        <v>Jun-26</v>
      </c>
    </row>
    <row r="209" customFormat="false" ht="15" hidden="false" customHeight="false" outlineLevel="0" collapsed="false">
      <c r="A209" s="2" t="n">
        <v>1208</v>
      </c>
      <c r="B209" s="3" t="n">
        <v>45912</v>
      </c>
      <c r="C209" s="2" t="s">
        <v>14</v>
      </c>
      <c r="D209" s="2" t="s">
        <v>20</v>
      </c>
      <c r="E209" s="2" t="s">
        <v>16</v>
      </c>
      <c r="F209" s="2" t="n">
        <v>11</v>
      </c>
      <c r="G209" s="2" t="n">
        <v>8556</v>
      </c>
      <c r="H209" s="4" t="n">
        <f aca="false">F209*G209</f>
        <v>94116</v>
      </c>
      <c r="I209" s="2" t="str">
        <f aca="false">TEXT(B209,"mmm-yy")</f>
        <v>Sep-25</v>
      </c>
    </row>
    <row r="210" customFormat="false" ht="15" hidden="false" customHeight="false" outlineLevel="0" collapsed="false">
      <c r="A210" s="2" t="n">
        <v>1209</v>
      </c>
      <c r="B210" s="3" t="n">
        <v>45926</v>
      </c>
      <c r="C210" s="2" t="s">
        <v>14</v>
      </c>
      <c r="D210" s="2" t="s">
        <v>20</v>
      </c>
      <c r="E210" s="2" t="s">
        <v>16</v>
      </c>
      <c r="F210" s="2" t="n">
        <v>4</v>
      </c>
      <c r="G210" s="2" t="n">
        <v>9247</v>
      </c>
      <c r="H210" s="4" t="n">
        <f aca="false">F210*G210</f>
        <v>36988</v>
      </c>
      <c r="I210" s="2" t="str">
        <f aca="false">TEXT(B210,"mmm-yy")</f>
        <v>Sep-25</v>
      </c>
    </row>
    <row r="211" customFormat="false" ht="15" hidden="false" customHeight="false" outlineLevel="0" collapsed="false">
      <c r="A211" s="2" t="n">
        <v>1210</v>
      </c>
      <c r="B211" s="3" t="n">
        <v>46211</v>
      </c>
      <c r="C211" s="2" t="s">
        <v>19</v>
      </c>
      <c r="D211" s="2" t="s">
        <v>15</v>
      </c>
      <c r="E211" s="2" t="s">
        <v>16</v>
      </c>
      <c r="F211" s="2" t="n">
        <v>10</v>
      </c>
      <c r="G211" s="2" t="n">
        <v>5574</v>
      </c>
      <c r="H211" s="4" t="n">
        <f aca="false">F211*G211</f>
        <v>55740</v>
      </c>
      <c r="I211" s="2" t="str">
        <f aca="false">TEXT(B211,"mmm-yy")</f>
        <v>Jul-26</v>
      </c>
    </row>
    <row r="212" customFormat="false" ht="15" hidden="false" customHeight="false" outlineLevel="0" collapsed="false">
      <c r="A212" s="2" t="n">
        <v>1211</v>
      </c>
      <c r="B212" s="3" t="n">
        <v>46029</v>
      </c>
      <c r="C212" s="2" t="s">
        <v>12</v>
      </c>
      <c r="D212" s="2" t="s">
        <v>13</v>
      </c>
      <c r="E212" s="2" t="s">
        <v>11</v>
      </c>
      <c r="F212" s="2" t="n">
        <v>11</v>
      </c>
      <c r="G212" s="2" t="n">
        <v>2080</v>
      </c>
      <c r="H212" s="4" t="n">
        <f aca="false">F212*G212</f>
        <v>22880</v>
      </c>
      <c r="I212" s="2" t="str">
        <f aca="false">TEXT(B212,"mmm-yy")</f>
        <v>Jan-26</v>
      </c>
    </row>
    <row r="213" customFormat="false" ht="15" hidden="false" customHeight="false" outlineLevel="0" collapsed="false">
      <c r="A213" s="2" t="n">
        <v>1212</v>
      </c>
      <c r="B213" s="3" t="n">
        <v>45921</v>
      </c>
      <c r="C213" s="2" t="s">
        <v>19</v>
      </c>
      <c r="D213" s="2" t="s">
        <v>23</v>
      </c>
      <c r="E213" s="2" t="s">
        <v>18</v>
      </c>
      <c r="F213" s="2" t="n">
        <v>6</v>
      </c>
      <c r="G213" s="2" t="n">
        <v>2192</v>
      </c>
      <c r="H213" s="4" t="n">
        <f aca="false">F213*G213</f>
        <v>13152</v>
      </c>
      <c r="I213" s="2" t="str">
        <f aca="false">TEXT(B213,"mmm-yy")</f>
        <v>Sep-25</v>
      </c>
    </row>
    <row r="214" customFormat="false" ht="15" hidden="false" customHeight="false" outlineLevel="0" collapsed="false">
      <c r="A214" s="2" t="n">
        <v>1213</v>
      </c>
      <c r="B214" s="3" t="n">
        <v>45968</v>
      </c>
      <c r="C214" s="2" t="s">
        <v>9</v>
      </c>
      <c r="D214" s="2" t="s">
        <v>20</v>
      </c>
      <c r="E214" s="2" t="s">
        <v>16</v>
      </c>
      <c r="F214" s="2" t="n">
        <v>7</v>
      </c>
      <c r="G214" s="2" t="n">
        <v>8843</v>
      </c>
      <c r="H214" s="4" t="n">
        <f aca="false">F214*G214</f>
        <v>61901</v>
      </c>
      <c r="I214" s="2" t="str">
        <f aca="false">TEXT(B214,"mmm-yy")</f>
        <v>Nov-25</v>
      </c>
    </row>
    <row r="215" customFormat="false" ht="15" hidden="false" customHeight="false" outlineLevel="0" collapsed="false">
      <c r="A215" s="2" t="n">
        <v>1214</v>
      </c>
      <c r="B215" s="3" t="n">
        <v>45990</v>
      </c>
      <c r="C215" s="2" t="s">
        <v>12</v>
      </c>
      <c r="D215" s="2" t="s">
        <v>22</v>
      </c>
      <c r="E215" s="2" t="s">
        <v>11</v>
      </c>
      <c r="F215" s="2" t="n">
        <v>6</v>
      </c>
      <c r="G215" s="2" t="n">
        <v>616</v>
      </c>
      <c r="H215" s="4" t="n">
        <f aca="false">F215*G215</f>
        <v>3696</v>
      </c>
      <c r="I215" s="2" t="str">
        <f aca="false">TEXT(B215,"mmm-yy")</f>
        <v>Nov-25</v>
      </c>
    </row>
    <row r="216" customFormat="false" ht="15" hidden="false" customHeight="false" outlineLevel="0" collapsed="false">
      <c r="A216" s="2" t="n">
        <v>1215</v>
      </c>
      <c r="B216" s="3" t="n">
        <v>46172</v>
      </c>
      <c r="C216" s="2" t="s">
        <v>19</v>
      </c>
      <c r="D216" s="2" t="s">
        <v>22</v>
      </c>
      <c r="E216" s="2" t="s">
        <v>11</v>
      </c>
      <c r="F216" s="2" t="n">
        <v>8</v>
      </c>
      <c r="G216" s="2" t="n">
        <v>584</v>
      </c>
      <c r="H216" s="4" t="n">
        <f aca="false">F216*G216</f>
        <v>4672</v>
      </c>
      <c r="I216" s="2" t="str">
        <f aca="false">TEXT(B216,"mmm-yy")</f>
        <v>May-26</v>
      </c>
    </row>
    <row r="217" customFormat="false" ht="15" hidden="false" customHeight="false" outlineLevel="0" collapsed="false">
      <c r="A217" s="2" t="n">
        <v>1216</v>
      </c>
      <c r="B217" s="3" t="n">
        <v>46052</v>
      </c>
      <c r="C217" s="2" t="s">
        <v>19</v>
      </c>
      <c r="D217" s="2" t="s">
        <v>13</v>
      </c>
      <c r="E217" s="2" t="s">
        <v>11</v>
      </c>
      <c r="F217" s="2" t="n">
        <v>2</v>
      </c>
      <c r="G217" s="2" t="n">
        <v>1993</v>
      </c>
      <c r="H217" s="4" t="n">
        <f aca="false">F217*G217</f>
        <v>3986</v>
      </c>
      <c r="I217" s="2" t="str">
        <f aca="false">TEXT(B217,"mmm-yy")</f>
        <v>Jan-26</v>
      </c>
    </row>
    <row r="218" customFormat="false" ht="15" hidden="false" customHeight="false" outlineLevel="0" collapsed="false">
      <c r="A218" s="2" t="n">
        <v>1217</v>
      </c>
      <c r="B218" s="3" t="n">
        <v>45973</v>
      </c>
      <c r="C218" s="2" t="s">
        <v>12</v>
      </c>
      <c r="D218" s="2" t="s">
        <v>17</v>
      </c>
      <c r="E218" s="2" t="s">
        <v>18</v>
      </c>
      <c r="F218" s="2" t="n">
        <v>9</v>
      </c>
      <c r="G218" s="2" t="n">
        <v>470</v>
      </c>
      <c r="H218" s="4" t="n">
        <f aca="false">F218*G218</f>
        <v>4230</v>
      </c>
      <c r="I218" s="2" t="str">
        <f aca="false">TEXT(B218,"mmm-yy")</f>
        <v>Nov-25</v>
      </c>
    </row>
    <row r="219" customFormat="false" ht="15" hidden="false" customHeight="false" outlineLevel="0" collapsed="false">
      <c r="A219" s="2" t="n">
        <v>1218</v>
      </c>
      <c r="B219" s="3" t="n">
        <v>46088</v>
      </c>
      <c r="C219" s="2" t="s">
        <v>9</v>
      </c>
      <c r="D219" s="2" t="s">
        <v>17</v>
      </c>
      <c r="E219" s="2" t="s">
        <v>18</v>
      </c>
      <c r="F219" s="2" t="n">
        <v>9</v>
      </c>
      <c r="G219" s="2" t="n">
        <v>427</v>
      </c>
      <c r="H219" s="4" t="n">
        <f aca="false">F219*G219</f>
        <v>3843</v>
      </c>
      <c r="I219" s="2" t="str">
        <f aca="false">TEXT(B219,"mmm-yy")</f>
        <v>Mar-26</v>
      </c>
    </row>
    <row r="220" customFormat="false" ht="15" hidden="false" customHeight="false" outlineLevel="0" collapsed="false">
      <c r="A220" s="2" t="n">
        <v>1219</v>
      </c>
      <c r="B220" s="3" t="n">
        <v>45964</v>
      </c>
      <c r="C220" s="2" t="s">
        <v>14</v>
      </c>
      <c r="D220" s="2" t="s">
        <v>21</v>
      </c>
      <c r="E220" s="2" t="s">
        <v>16</v>
      </c>
      <c r="F220" s="2" t="n">
        <v>11</v>
      </c>
      <c r="G220" s="2" t="n">
        <v>3356</v>
      </c>
      <c r="H220" s="4" t="n">
        <f aca="false">F220*G220</f>
        <v>36916</v>
      </c>
      <c r="I220" s="2" t="str">
        <f aca="false">TEXT(B220,"mmm-yy")</f>
        <v>Nov-25</v>
      </c>
    </row>
    <row r="221" customFormat="false" ht="15" hidden="false" customHeight="false" outlineLevel="0" collapsed="false">
      <c r="A221" s="2" t="n">
        <v>1220</v>
      </c>
      <c r="B221" s="3" t="n">
        <v>46035</v>
      </c>
      <c r="C221" s="2" t="s">
        <v>14</v>
      </c>
      <c r="D221" s="2" t="s">
        <v>21</v>
      </c>
      <c r="E221" s="2" t="s">
        <v>16</v>
      </c>
      <c r="F221" s="2" t="n">
        <v>4</v>
      </c>
      <c r="G221" s="2" t="n">
        <v>3170</v>
      </c>
      <c r="H221" s="4" t="n">
        <f aca="false">F221*G221</f>
        <v>12680</v>
      </c>
      <c r="I221" s="2" t="str">
        <f aca="false">TEXT(B221,"mmm-yy")</f>
        <v>Jan-26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  <col collapsed="false" customWidth="true" hidden="false" outlineLevel="0" max="9" min="9" style="0" width="3"/>
    <col collapsed="false" customWidth="true" hidden="false" outlineLevel="0" max="12" min="10" style="0" width="16"/>
  </cols>
  <sheetData>
    <row r="2" customFormat="false" ht="24.45" hidden="false" customHeight="false" outlineLevel="0" collapsed="false">
      <c r="B2" s="5" t="s">
        <v>24</v>
      </c>
      <c r="C2" s="5"/>
      <c r="D2" s="5"/>
      <c r="E2" s="5"/>
      <c r="F2" s="5"/>
      <c r="G2" s="5"/>
      <c r="H2" s="5"/>
      <c r="I2" s="5"/>
      <c r="J2" s="5"/>
      <c r="K2" s="5"/>
    </row>
    <row r="3" customFormat="false" ht="15" hidden="false" customHeight="false" outlineLevel="0" collapsed="false">
      <c r="B3" s="6" t="s">
        <v>25</v>
      </c>
      <c r="C3" s="6"/>
      <c r="D3" s="6"/>
      <c r="E3" s="6"/>
      <c r="F3" s="6"/>
      <c r="G3" s="6"/>
      <c r="H3" s="6"/>
      <c r="I3" s="6"/>
      <c r="J3" s="6"/>
      <c r="K3" s="6"/>
    </row>
    <row r="5" customFormat="false" ht="15" hidden="false" customHeight="false" outlineLevel="0" collapsed="false">
      <c r="B5" s="7" t="s">
        <v>26</v>
      </c>
      <c r="C5" s="8" t="s">
        <v>27</v>
      </c>
    </row>
    <row r="7" customFormat="false" ht="16.15" hidden="false" customHeight="false" outlineLevel="0" collapsed="false">
      <c r="B7" s="9" t="s">
        <v>28</v>
      </c>
      <c r="C7" s="9"/>
      <c r="E7" s="9" t="s">
        <v>29</v>
      </c>
      <c r="F7" s="9"/>
      <c r="H7" s="9" t="s">
        <v>30</v>
      </c>
      <c r="I7" s="9"/>
      <c r="K7" s="9" t="s">
        <v>31</v>
      </c>
      <c r="L7" s="9"/>
    </row>
    <row r="8" customFormat="false" ht="15" hidden="false" customHeight="false" outlineLevel="0" collapsed="false">
      <c r="B8" s="10" t="n">
        <f aca="false">IF(Dashboard!$C$5="All",SUM(SalesData[Revenue]),SUMIFS(SalesData[Revenue],SalesData[Region],Dashboard!$C$5))</f>
        <v>5080285</v>
      </c>
      <c r="C8" s="10"/>
      <c r="E8" s="11" t="n">
        <f aca="false">IF(Dashboard!$C$5="All",SUM(SalesData[Quantity]),SUMIFS(SalesData[Quantity],SalesData[Region],Dashboard!$C$5))</f>
        <v>1511</v>
      </c>
      <c r="F8" s="11"/>
      <c r="H8" s="11" t="n">
        <f aca="false">IF(Dashboard!$C$5="All",COUNTA(SalesData[Order ID]),COUNTIFS(SalesData[Region],Dashboard!$C$5))</f>
        <v>220</v>
      </c>
      <c r="I8" s="11"/>
      <c r="K8" s="10" t="n">
        <f aca="false">IF(Dashboard!$C$5="All",SUM(SalesData[Revenue])/COUNTA(SalesData[Order ID]),SUMIFS(SalesData[Revenue],SalesData[Region],Dashboard!$C$5)/COUNTIFS(SalesData[Region],Dashboard!$C$5))</f>
        <v>23092.2045454545</v>
      </c>
      <c r="L8" s="10"/>
    </row>
    <row r="9" customFormat="false" ht="15" hidden="false" customHeight="false" outlineLevel="0" collapsed="false">
      <c r="B9" s="10"/>
      <c r="C9" s="10"/>
      <c r="E9" s="11"/>
      <c r="F9" s="11"/>
      <c r="H9" s="11"/>
      <c r="I9" s="11"/>
      <c r="K9" s="10"/>
      <c r="L9" s="10"/>
    </row>
    <row r="11" customFormat="false" ht="16.15" hidden="false" customHeight="false" outlineLevel="0" collapsed="false">
      <c r="B11" s="9" t="s">
        <v>32</v>
      </c>
      <c r="C11" s="9"/>
      <c r="D11" s="9"/>
      <c r="E11" s="9"/>
    </row>
    <row r="12" customFormat="false" ht="15" hidden="false" customHeight="false" outlineLevel="0" collapsed="false">
      <c r="B12" s="12" t="str">
        <f aca="false">INDEX(J31:J38,MATCH(MAX(IF(Dashboard!$C$5="All",K31:K38,L31:L38)),IF(Dashboard!$C$5="All",K31:K38,L31:L38),0))</f>
        <v>Standing Desk</v>
      </c>
      <c r="C12" s="12"/>
      <c r="D12" s="12"/>
      <c r="E12" s="12"/>
    </row>
    <row r="13" customFormat="false" ht="15" hidden="false" customHeight="false" outlineLevel="0" collapsed="false">
      <c r="B13" s="12"/>
      <c r="C13" s="12"/>
      <c r="D13" s="12"/>
      <c r="E13" s="12"/>
    </row>
    <row r="15" customFormat="false" ht="15" hidden="false" customHeight="false" outlineLevel="0" collapsed="false">
      <c r="J15" s="13" t="s">
        <v>33</v>
      </c>
    </row>
    <row r="16" customFormat="false" ht="15" hidden="false" customHeight="false" outlineLevel="0" collapsed="false">
      <c r="J16" s="7" t="s">
        <v>8</v>
      </c>
      <c r="K16" s="7" t="s">
        <v>7</v>
      </c>
    </row>
    <row r="17" customFormat="false" ht="15" hidden="false" customHeight="false" outlineLevel="0" collapsed="false">
      <c r="J17" s="0" t="s">
        <v>34</v>
      </c>
      <c r="K17" s="14" t="n">
        <f aca="false">IF(Dashboard!$C$5="All",SUMIFS(SalesData[Revenue],SalesData[Month],J17),SUMIFS(SalesData[Revenue],SalesData[Month],J17,SalesData[Region],Dashboard!$C$5))</f>
        <v>402473</v>
      </c>
    </row>
    <row r="18" customFormat="false" ht="15" hidden="false" customHeight="false" outlineLevel="0" collapsed="false">
      <c r="J18" s="0" t="s">
        <v>35</v>
      </c>
      <c r="K18" s="14" t="n">
        <f aca="false">IF(Dashboard!$C$5="All",SUMIFS(SalesData[Revenue],SalesData[Month],J18),SUMIFS(SalesData[Revenue],SalesData[Month],J18,SalesData[Region],Dashboard!$C$5))</f>
        <v>484864</v>
      </c>
    </row>
    <row r="19" customFormat="false" ht="15" hidden="false" customHeight="false" outlineLevel="0" collapsed="false">
      <c r="J19" s="0" t="s">
        <v>36</v>
      </c>
      <c r="K19" s="14" t="n">
        <f aca="false">IF(Dashboard!$C$5="All",SUMIFS(SalesData[Revenue],SalesData[Month],J19),SUMIFS(SalesData[Revenue],SalesData[Month],J19,SalesData[Region],Dashboard!$C$5))</f>
        <v>204484</v>
      </c>
    </row>
    <row r="20" customFormat="false" ht="15" hidden="false" customHeight="false" outlineLevel="0" collapsed="false">
      <c r="J20" s="0" t="s">
        <v>37</v>
      </c>
      <c r="K20" s="14" t="n">
        <f aca="false">IF(Dashboard!$C$5="All",SUMIFS(SalesData[Revenue],SalesData[Month],J20),SUMIFS(SalesData[Revenue],SalesData[Month],J20,SalesData[Region],Dashboard!$C$5))</f>
        <v>526741</v>
      </c>
    </row>
    <row r="21" customFormat="false" ht="15" hidden="false" customHeight="false" outlineLevel="0" collapsed="false">
      <c r="J21" s="0" t="s">
        <v>38</v>
      </c>
      <c r="K21" s="14" t="n">
        <f aca="false">IF(Dashboard!$C$5="All",SUMIFS(SalesData[Revenue],SalesData[Month],J21),SUMIFS(SalesData[Revenue],SalesData[Month],J21,SalesData[Region],Dashboard!$C$5))</f>
        <v>819200</v>
      </c>
    </row>
    <row r="22" customFormat="false" ht="15" hidden="false" customHeight="false" outlineLevel="0" collapsed="false">
      <c r="J22" s="0" t="s">
        <v>39</v>
      </c>
      <c r="K22" s="14" t="n">
        <f aca="false">IF(Dashboard!$C$5="All",SUMIFS(SalesData[Revenue],SalesData[Month],J22),SUMIFS(SalesData[Revenue],SalesData[Month],J22,SalesData[Region],Dashboard!$C$5))</f>
        <v>437733</v>
      </c>
    </row>
    <row r="23" customFormat="false" ht="15" hidden="false" customHeight="false" outlineLevel="0" collapsed="false">
      <c r="J23" s="0" t="s">
        <v>40</v>
      </c>
      <c r="K23" s="14" t="n">
        <f aca="false">IF(Dashboard!$C$5="All",SUMIFS(SalesData[Revenue],SalesData[Month],J23),SUMIFS(SalesData[Revenue],SalesData[Month],J23,SalesData[Region],Dashboard!$C$5))</f>
        <v>491882</v>
      </c>
    </row>
    <row r="24" customFormat="false" ht="15" hidden="false" customHeight="false" outlineLevel="0" collapsed="false">
      <c r="J24" s="0" t="s">
        <v>41</v>
      </c>
      <c r="K24" s="14" t="n">
        <f aca="false">IF(Dashboard!$C$5="All",SUMIFS(SalesData[Revenue],SalesData[Month],J24),SUMIFS(SalesData[Revenue],SalesData[Month],J24,SalesData[Region],Dashboard!$C$5))</f>
        <v>197118</v>
      </c>
    </row>
    <row r="25" customFormat="false" ht="15" hidden="false" customHeight="false" outlineLevel="0" collapsed="false">
      <c r="J25" s="0" t="s">
        <v>42</v>
      </c>
      <c r="K25" s="14" t="n">
        <f aca="false">IF(Dashboard!$C$5="All",SUMIFS(SalesData[Revenue],SalesData[Month],J25),SUMIFS(SalesData[Revenue],SalesData[Month],J25,SalesData[Region],Dashboard!$C$5))</f>
        <v>200278</v>
      </c>
    </row>
    <row r="26" customFormat="false" ht="15" hidden="false" customHeight="false" outlineLevel="0" collapsed="false">
      <c r="J26" s="0" t="s">
        <v>43</v>
      </c>
      <c r="K26" s="14" t="n">
        <f aca="false">IF(Dashboard!$C$5="All",SUMIFS(SalesData[Revenue],SalesData[Month],J26),SUMIFS(SalesData[Revenue],SalesData[Month],J26,SalesData[Region],Dashboard!$C$5))</f>
        <v>542401</v>
      </c>
    </row>
    <row r="27" customFormat="false" ht="15" hidden="false" customHeight="false" outlineLevel="0" collapsed="false">
      <c r="J27" s="0" t="s">
        <v>44</v>
      </c>
      <c r="K27" s="14" t="n">
        <f aca="false">IF(Dashboard!$C$5="All",SUMIFS(SalesData[Revenue],SalesData[Month],J27),SUMIFS(SalesData[Revenue],SalesData[Month],J27,SalesData[Region],Dashboard!$C$5))</f>
        <v>378890</v>
      </c>
    </row>
    <row r="28" customFormat="false" ht="15" hidden="false" customHeight="false" outlineLevel="0" collapsed="false">
      <c r="J28" s="0" t="s">
        <v>45</v>
      </c>
      <c r="K28" s="14" t="n">
        <f aca="false">IF(Dashboard!$C$5="All",SUMIFS(SalesData[Revenue],SalesData[Month],J28),SUMIFS(SalesData[Revenue],SalesData[Month],J28,SalesData[Region],Dashboard!$C$5))</f>
        <v>394221</v>
      </c>
    </row>
    <row r="30" customFormat="false" ht="15" hidden="false" customHeight="false" outlineLevel="0" collapsed="false">
      <c r="J30" s="7" t="s">
        <v>3</v>
      </c>
      <c r="K30" s="7" t="s">
        <v>46</v>
      </c>
      <c r="L30" s="7" t="s">
        <v>47</v>
      </c>
    </row>
    <row r="31" customFormat="false" ht="15" hidden="false" customHeight="false" outlineLevel="0" collapsed="false">
      <c r="J31" s="0" t="s">
        <v>10</v>
      </c>
      <c r="K31" s="14" t="n">
        <f aca="false">SUMIFS(SalesData[Revenue],SalesData[Product],J31)</f>
        <v>108692</v>
      </c>
      <c r="L31" s="14" t="n">
        <f aca="false">IF(Dashboard!$C$5="All",K31,SUMIFS(SalesData[Revenue],SalesData[Product],J31,SalesData[Region],Dashboard!$C$5))</f>
        <v>108692</v>
      </c>
    </row>
    <row r="32" customFormat="false" ht="15" hidden="false" customHeight="false" outlineLevel="0" collapsed="false">
      <c r="J32" s="0" t="s">
        <v>13</v>
      </c>
      <c r="K32" s="14" t="n">
        <f aca="false">SUMIFS(SalesData[Revenue],SalesData[Product],J32)</f>
        <v>359830</v>
      </c>
      <c r="L32" s="14" t="n">
        <f aca="false">IF(Dashboard!$C$5="All",K32,SUMIFS(SalesData[Revenue],SalesData[Product],J32,SalesData[Region],Dashboard!$C$5))</f>
        <v>359830</v>
      </c>
    </row>
    <row r="33" customFormat="false" ht="15" hidden="false" customHeight="false" outlineLevel="0" collapsed="false">
      <c r="J33" s="0" t="s">
        <v>22</v>
      </c>
      <c r="K33" s="14" t="n">
        <f aca="false">SUMIFS(SalesData[Revenue],SalesData[Product],J33)</f>
        <v>97285</v>
      </c>
      <c r="L33" s="14" t="n">
        <f aca="false">IF(Dashboard!$C$5="All",K33,SUMIFS(SalesData[Revenue],SalesData[Product],J33,SalesData[Region],Dashboard!$C$5))</f>
        <v>97285</v>
      </c>
    </row>
    <row r="34" customFormat="false" ht="15" hidden="false" customHeight="false" outlineLevel="0" collapsed="false">
      <c r="J34" s="0" t="s">
        <v>15</v>
      </c>
      <c r="K34" s="14" t="n">
        <f aca="false">SUMIFS(SalesData[Revenue],SalesData[Product],J34)</f>
        <v>1186310</v>
      </c>
      <c r="L34" s="14" t="n">
        <f aca="false">IF(Dashboard!$C$5="All",K34,SUMIFS(SalesData[Revenue],SalesData[Product],J34,SalesData[Region],Dashboard!$C$5))</f>
        <v>1186310</v>
      </c>
    </row>
    <row r="35" customFormat="false" ht="15" hidden="false" customHeight="false" outlineLevel="0" collapsed="false">
      <c r="J35" s="0" t="s">
        <v>20</v>
      </c>
      <c r="K35" s="14" t="n">
        <f aca="false">SUMIFS(SalesData[Revenue],SalesData[Product],J35)</f>
        <v>2451113</v>
      </c>
      <c r="L35" s="14" t="n">
        <f aca="false">IF(Dashboard!$C$5="All",K35,SUMIFS(SalesData[Revenue],SalesData[Product],J35,SalesData[Region],Dashboard!$C$5))</f>
        <v>2451113</v>
      </c>
    </row>
    <row r="36" customFormat="false" ht="15" hidden="false" customHeight="false" outlineLevel="0" collapsed="false">
      <c r="J36" s="0" t="s">
        <v>21</v>
      </c>
      <c r="K36" s="14" t="n">
        <f aca="false">SUMIFS(SalesData[Revenue],SalesData[Product],J36)</f>
        <v>359153</v>
      </c>
      <c r="L36" s="14" t="n">
        <f aca="false">IF(Dashboard!$C$5="All",K36,SUMIFS(SalesData[Revenue],SalesData[Product],J36,SalesData[Region],Dashboard!$C$5))</f>
        <v>359153</v>
      </c>
    </row>
    <row r="37" customFormat="false" ht="15" hidden="false" customHeight="false" outlineLevel="0" collapsed="false">
      <c r="J37" s="0" t="s">
        <v>17</v>
      </c>
      <c r="K37" s="14" t="n">
        <f aca="false">SUMIFS(SalesData[Revenue],SalesData[Product],J37)</f>
        <v>116243</v>
      </c>
      <c r="L37" s="14" t="n">
        <f aca="false">IF(Dashboard!$C$5="All",K37,SUMIFS(SalesData[Revenue],SalesData[Product],J37,SalesData[Region],Dashboard!$C$5))</f>
        <v>116243</v>
      </c>
    </row>
    <row r="38" customFormat="false" ht="15" hidden="false" customHeight="false" outlineLevel="0" collapsed="false">
      <c r="J38" s="0" t="s">
        <v>23</v>
      </c>
      <c r="K38" s="14" t="n">
        <f aca="false">SUMIFS(SalesData[Revenue],SalesData[Product],J38)</f>
        <v>401659</v>
      </c>
      <c r="L38" s="14" t="n">
        <f aca="false">IF(Dashboard!$C$5="All",K38,SUMIFS(SalesData[Revenue],SalesData[Product],J38,SalesData[Region],Dashboard!$C$5))</f>
        <v>401659</v>
      </c>
    </row>
    <row r="40" customFormat="false" ht="15" hidden="false" customHeight="false" outlineLevel="0" collapsed="false">
      <c r="J40" s="7" t="s">
        <v>2</v>
      </c>
      <c r="K40" s="7" t="s">
        <v>7</v>
      </c>
    </row>
    <row r="41" customFormat="false" ht="15" hidden="false" customHeight="false" outlineLevel="0" collapsed="false">
      <c r="J41" s="0" t="s">
        <v>9</v>
      </c>
      <c r="K41" s="14" t="n">
        <f aca="false">SUMIFS(SalesData[Revenue],SalesData[Region],J41)</f>
        <v>1134743</v>
      </c>
    </row>
    <row r="42" customFormat="false" ht="15" hidden="false" customHeight="false" outlineLevel="0" collapsed="false">
      <c r="J42" s="0" t="s">
        <v>12</v>
      </c>
      <c r="K42" s="14" t="n">
        <f aca="false">SUMIFS(SalesData[Revenue],SalesData[Region],J42)</f>
        <v>1485319</v>
      </c>
    </row>
    <row r="43" customFormat="false" ht="15" hidden="false" customHeight="false" outlineLevel="0" collapsed="false">
      <c r="J43" s="0" t="s">
        <v>19</v>
      </c>
      <c r="K43" s="14" t="n">
        <f aca="false">SUMIFS(SalesData[Revenue],SalesData[Region],J43)</f>
        <v>1034155</v>
      </c>
    </row>
    <row r="44" customFormat="false" ht="15" hidden="false" customHeight="false" outlineLevel="0" collapsed="false">
      <c r="J44" s="0" t="s">
        <v>14</v>
      </c>
      <c r="K44" s="14" t="n">
        <f aca="false">SUMIFS(SalesData[Revenue],SalesData[Region],J44)</f>
        <v>1426068</v>
      </c>
    </row>
  </sheetData>
  <mergeCells count="12">
    <mergeCell ref="B2:K2"/>
    <mergeCell ref="B3:K3"/>
    <mergeCell ref="B7:C7"/>
    <mergeCell ref="E7:F7"/>
    <mergeCell ref="H7:I7"/>
    <mergeCell ref="K7:L7"/>
    <mergeCell ref="B8:C9"/>
    <mergeCell ref="E8:F9"/>
    <mergeCell ref="H8:I9"/>
    <mergeCell ref="K8:L9"/>
    <mergeCell ref="B11:E11"/>
    <mergeCell ref="B12:E13"/>
  </mergeCells>
  <dataValidations count="1">
    <dataValidation allowBlank="false" error="Choose a region from the list" errorStyle="stop" operator="between" prompt="Select a region, or All" showDropDown="false" showErrorMessage="false" showInputMessage="false" sqref="C5" type="list">
      <formula1>"All,North,South,East,West"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2026-08-31T15:08:25Z</dcterms:created>
  <dc:creator>openpyxl</dc:creator>
  <dc:description/>
  <dc:language>en-US</dc:language>
  <cp:lastModifiedBy/>
  <dcterms:modified xsi:type="dcterms:W3CDTF">2026-08-31T15:08:32Z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